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rain 15" sheetId="2" r:id="rId6"/>
    <sheet state="visible" name="train 14" sheetId="3" r:id="rId7"/>
    <sheet state="visible" name="train 17" sheetId="4" r:id="rId8"/>
    <sheet state="visible" name="Sheet5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tc={9b02a53f-e980-43c4-a69a-1a068c552f81}</author>
  </authors>
  <commentList>
    <comment authorId="0" xr:uid="{9b02a53f-e980-43c4-a69a-1a068c552f81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faked
</t>
      </text>
    </comment>
  </commentList>
</comments>
</file>

<file path=xl/sharedStrings.xml><?xml version="1.0" encoding="utf-8"?>
<sst xmlns="http://schemas.openxmlformats.org/spreadsheetml/2006/main" count="351" uniqueCount="65">
  <si>
    <t>from</t>
  </si>
  <si>
    <t>to</t>
  </si>
  <si>
    <t>dist (mm)</t>
  </si>
  <si>
    <t>ticks</t>
  </si>
  <si>
    <t>dist</t>
  </si>
  <si>
    <t>spd</t>
  </si>
  <si>
    <t>D5</t>
  </si>
  <si>
    <t>E6</t>
  </si>
  <si>
    <t>D4</t>
  </si>
  <si>
    <t>B6</t>
  </si>
  <si>
    <t>C12</t>
  </si>
  <si>
    <t>A4</t>
  </si>
  <si>
    <t>B16</t>
  </si>
  <si>
    <t>C10</t>
  </si>
  <si>
    <t>B1</t>
  </si>
  <si>
    <t>D14</t>
  </si>
  <si>
    <t>E14</t>
  </si>
  <si>
    <t>deltat</t>
  </si>
  <si>
    <t>tticks</t>
  </si>
  <si>
    <t>factor</t>
  </si>
  <si>
    <t>spd_lvl</t>
  </si>
  <si>
    <t>avg_speed</t>
  </si>
  <si>
    <t>speed</t>
  </si>
  <si>
    <t>stop_dist(mm)</t>
  </si>
  <si>
    <t>d_val(nm/t^2)</t>
  </si>
  <si>
    <t/>
  </si>
  <si>
    <t>stop_dist_mm</t>
  </si>
  <si>
    <t>d</t>
  </si>
  <si>
    <t>tdist</t>
  </si>
  <si>
    <t>ttick</t>
  </si>
  <si>
    <t>ve</t>
  </si>
  <si>
    <t>Column 1</t>
  </si>
  <si>
    <t>Column 2</t>
  </si>
  <si>
    <t>dt</t>
  </si>
  <si>
    <t>v_i_nm</t>
  </si>
  <si>
    <t>v_f_nm</t>
  </si>
  <si>
    <t>E2</t>
  </si>
  <si>
    <t>E15</t>
  </si>
  <si>
    <t>B3</t>
  </si>
  <si>
    <t>C2</t>
  </si>
  <si>
    <t>Train 14 Stats</t>
  </si>
  <si>
    <t>Speed</t>
  </si>
  <si>
    <t>Top</t>
  </si>
  <si>
    <t>Accel</t>
  </si>
  <si>
    <t>Output table</t>
  </si>
  <si>
    <t>Stop Dist (mm)</t>
  </si>
  <si>
    <t>decel(nm/t^2)</t>
  </si>
  <si>
    <t>v_max_umpt</t>
  </si>
  <si>
    <t>a_nmpt2</t>
  </si>
  <si>
    <t>d_nmpt2</t>
  </si>
  <si>
    <t>note: would've caculated 15 spd 14 as 1532</t>
  </si>
  <si>
    <t>Train 17 Stats</t>
  </si>
  <si>
    <t>Decel</t>
  </si>
  <si>
    <t>Stop Dist</t>
  </si>
  <si>
    <t>Sensor</t>
  </si>
  <si>
    <t>Time</t>
  </si>
  <si>
    <t>Distance</t>
  </si>
  <si>
    <t>Cum distance</t>
  </si>
  <si>
    <t>Time delta</t>
  </si>
  <si>
    <t>Velocity</t>
  </si>
  <si>
    <t>Include</t>
  </si>
  <si>
    <t>avg without outliers</t>
  </si>
  <si>
    <t>E9</t>
  </si>
  <si>
    <t>D5 to E6</t>
  </si>
  <si>
    <t>38cm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</si>
</sst>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00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" xfId="0" applyFont="1" applyNumberFormat="1"/>
    <xf borderId="0" fillId="0" fontId="1" numFmtId="1" xfId="0" applyAlignment="1" applyFont="1" applyNumberFormat="1">
      <alignment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 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 15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 15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 15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rain 14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Sheet1!$F$44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Sheet1!$E$45:$E$67</c:f>
            </c:strRef>
          </c:cat>
          <c:val>
            <c:numRef>
              <c:f>Sheet1!$F$45:$F$67</c:f>
              <c:numCache/>
            </c:numRef>
          </c:val>
        </c:ser>
        <c:axId val="1321999552"/>
        <c:axId val="177313883"/>
      </c:barChart>
      <c:catAx>
        <c:axId val="132199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13883"/>
      </c:catAx>
      <c:valAx>
        <c:axId val="177313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9995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Sheet1!$F$74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Sheet1!$E$75:$E$97</c:f>
            </c:strRef>
          </c:cat>
          <c:val>
            <c:numRef>
              <c:f>Sheet1!$F$75:$F$97</c:f>
              <c:numCache/>
            </c:numRef>
          </c:val>
          <c:smooth val="0"/>
        </c:ser>
        <c:axId val="1043353144"/>
        <c:axId val="1324487733"/>
      </c:lineChart>
      <c:catAx>
        <c:axId val="104335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487733"/>
      </c:catAx>
      <c:valAx>
        <c:axId val="1324487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353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Sheet1!$E$90:$E$94</c:f>
            </c:strRef>
          </c:cat>
          <c:val>
            <c:numRef>
              <c:f>Sheet1!$F$90:$F$94</c:f>
              <c:numCache/>
            </c:numRef>
          </c:val>
          <c:smooth val="0"/>
        </c:ser>
        <c:axId val="475297079"/>
        <c:axId val="1911359734"/>
      </c:lineChart>
      <c:catAx>
        <c:axId val="475297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359734"/>
      </c:catAx>
      <c:valAx>
        <c:axId val="1911359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297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Sheet1!$I$108:$I$112</c:f>
            </c:strRef>
          </c:cat>
          <c:val>
            <c:numRef>
              <c:f>Sheet1!$J$108:$J$112</c:f>
              <c:numCache/>
            </c:numRef>
          </c:val>
          <c:smooth val="0"/>
        </c:ser>
        <c:axId val="80489079"/>
        <c:axId val="875037371"/>
      </c:lineChart>
      <c:catAx>
        <c:axId val="80489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037371"/>
      </c:catAx>
      <c:valAx>
        <c:axId val="875037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89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spd vs. ticks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Sheet1!$E$143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12"/>
            <c:marker>
              <c:symbol val="none"/>
            </c:marker>
          </c:dPt>
          <c:cat>
            <c:strRef>
              <c:f>Sheet1!$F$144:$F$147</c:f>
            </c:strRef>
          </c:cat>
          <c:val>
            <c:numRef>
              <c:f>Sheet1!$E$144:$E$147</c:f>
              <c:numCache/>
            </c:numRef>
          </c:val>
          <c:smooth val="0"/>
        </c:ser>
        <c:axId val="992825846"/>
        <c:axId val="1974635620"/>
      </c:lineChart>
      <c:catAx>
        <c:axId val="992825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635620"/>
      </c:catAx>
      <c:valAx>
        <c:axId val="1974635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825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Sheet1!$E$246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7620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Sheet1!$D$247:$D$261</c:f>
            </c:strRef>
          </c:cat>
          <c:val>
            <c:numRef>
              <c:f>Sheet1!$E$247:$E$261</c:f>
              <c:numCache/>
            </c:numRef>
          </c:val>
          <c:smooth val="0"/>
        </c:ser>
        <c:axId val="1610314166"/>
        <c:axId val="1935990471"/>
      </c:lineChart>
      <c:catAx>
        <c:axId val="1610314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990471"/>
      </c:catAx>
      <c:valAx>
        <c:axId val="1935990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314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deceleration by speed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Sheet1!$F$246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Sheet1!$D$247:$D$261</c:f>
            </c:strRef>
          </c:cat>
          <c:val>
            <c:numRef>
              <c:f>Sheet1!$F$247:$F$261</c:f>
              <c:numCache/>
            </c:numRef>
          </c:val>
          <c:smooth val="0"/>
        </c:ser>
        <c:axId val="546760599"/>
        <c:axId val="1723279413"/>
      </c:lineChart>
      <c:catAx>
        <c:axId val="546760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spd_lvl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279413"/>
      </c:catAx>
      <c:valAx>
        <c:axId val="1723279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760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avg_speed, speed and stop_dist(mm)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Sheet1!$C$246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Sheet1!$B$247:$B$261</c:f>
            </c:strRef>
          </c:cat>
          <c:val>
            <c:numRef>
              <c:f>Sheet1!$C$247:$C$261</c:f>
              <c:numCache/>
            </c:numRef>
          </c:val>
          <c:smooth val="0"/>
        </c:ser>
        <c:ser>
          <c:idx val="1"/>
          <c:order val="1"/>
          <c:tx>
            <c:strRef>
              <c:f>Sheet1!$D$246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Sheet1!$B$247:$B$261</c:f>
            </c:strRef>
          </c:cat>
          <c:val>
            <c:numRef>
              <c:f>Sheet1!$D$247:$D$261</c:f>
              <c:numCache/>
            </c:numRef>
          </c:val>
          <c:smooth val="0"/>
        </c:ser>
        <c:axId val="1578181243"/>
        <c:axId val="458975939"/>
      </c:lineChart>
      <c:catAx>
        <c:axId val="1578181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spd_lvl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975939"/>
      </c:catAx>
      <c:valAx>
        <c:axId val="45897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181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cat>
            <c:strRef>
              <c:f>Sheet1!$D$247:$D$261</c:f>
            </c:strRef>
          </c:cat>
          <c:val>
            <c:numRef>
              <c:f>Sheet1!$E$247:$E$261</c:f>
              <c:numCache/>
            </c:numRef>
          </c:val>
          <c:smooth val="0"/>
        </c:ser>
        <c:axId val="1359357563"/>
        <c:axId val="1424045590"/>
      </c:lineChart>
      <c:catAx>
        <c:axId val="1359357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045590"/>
      </c:catAx>
      <c:valAx>
        <c:axId val="1424045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357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'train 15'!$E$2</c:f>
            </c:strRef>
          </c:tx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'train 15'!$F$3:$F$18</c:f>
            </c:strRef>
          </c:cat>
          <c:val>
            <c:numRef>
              <c:f>'train 15'!$E$3:$E$18</c:f>
              <c:numCache/>
            </c:numRef>
          </c:val>
        </c:ser>
        <c:axId val="121047556"/>
        <c:axId val="1406258946"/>
      </c:barChart>
      <c:catAx>
        <c:axId val="121047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258946"/>
      </c:catAx>
      <c:valAx>
        <c:axId val="1406258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47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'train 15'!$E$20</c:f>
            </c:strRef>
          </c:tx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'train 15'!$F$21:$F$37</c:f>
            </c:strRef>
          </c:cat>
          <c:val>
            <c:numRef>
              <c:f>'train 15'!$E$21:$E$37</c:f>
              <c:numCache/>
            </c:numRef>
          </c:val>
        </c:ser>
        <c:axId val="1005071223"/>
        <c:axId val="1406407486"/>
      </c:barChart>
      <c:catAx>
        <c:axId val="1005071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407486"/>
      </c:catAx>
      <c:valAx>
        <c:axId val="1406407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071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'train 15'!$E$39</c:f>
            </c:strRef>
          </c:tx>
          <c:spPr>
            <a:solidFill>
              <a:schemeClr val="accent1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'train 15'!$F$40:$F$55</c:f>
            </c:strRef>
          </c:cat>
          <c:val>
            <c:numRef>
              <c:f>'train 15'!$E$40:$E$55</c:f>
              <c:numCache/>
            </c:numRef>
          </c:val>
        </c:ser>
        <c:axId val="812559415"/>
        <c:axId val="1730471560"/>
      </c:barChart>
      <c:catAx>
        <c:axId val="812559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471560"/>
      </c:catAx>
      <c:valAx>
        <c:axId val="1730471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559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'train 15'!$G$39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1"/>
          </c:trendline>
          <c:cat>
            <c:strRef>
              <c:f>'train 15'!$F$40:$F$55</c:f>
            </c:strRef>
          </c:cat>
          <c:val>
            <c:numRef>
              <c:f>'train 15'!$G$40:$G$55</c:f>
              <c:numCache/>
            </c:numRef>
          </c:val>
          <c:smooth val="0"/>
        </c:ser>
        <c:axId val="1264219059"/>
        <c:axId val="1432231166"/>
      </c:lineChart>
      <c:catAx>
        <c:axId val="1264219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231166"/>
      </c:catAx>
      <c:valAx>
        <c:axId val="1432231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2190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'train 15'!$G$20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'train 15'!$F$21:$F$37</c:f>
            </c:strRef>
          </c:cat>
          <c:val>
            <c:numRef>
              <c:f>'train 15'!$G$21:$G$37</c:f>
              <c:numCache/>
            </c:numRef>
          </c:val>
          <c:smooth val="0"/>
        </c:ser>
        <c:axId val="895511358"/>
        <c:axId val="950268597"/>
      </c:lineChart>
      <c:catAx>
        <c:axId val="895511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268597"/>
      </c:catAx>
      <c:valAx>
        <c:axId val="950268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511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'train 15'!$G$2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'train 15'!$F$3:$F$18</c:f>
            </c:strRef>
          </c:cat>
          <c:val>
            <c:numRef>
              <c:f>'train 15'!$G$3:$G$18</c:f>
              <c:numCache/>
            </c:numRef>
          </c:val>
          <c:smooth val="0"/>
        </c:ser>
        <c:axId val="2013856262"/>
        <c:axId val="1191492286"/>
      </c:lineChart>
      <c:catAx>
        <c:axId val="2013856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492286"/>
      </c:catAx>
      <c:valAx>
        <c:axId val="1191492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856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17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'train 14'!$C$22:$C$23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'train 14'!$D$24:$D$38</c:f>
            </c:strRef>
          </c:cat>
          <c:val>
            <c:numRef>
              <c:f>'train 14'!$C$24:$C$38</c:f>
              <c:numCache/>
            </c:numRef>
          </c:val>
          <c:smooth val="0"/>
        </c:ser>
        <c:axId val="942560625"/>
        <c:axId val="1715297952"/>
      </c:lineChart>
      <c:catAx>
        <c:axId val="942560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297952"/>
      </c:catAx>
      <c:valAx>
        <c:axId val="1715297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560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cat>
            <c:strRef>
              <c:f>'train 17'!$D$23:$D$37</c:f>
            </c:strRef>
          </c:cat>
          <c:val>
            <c:numRef>
              <c:f>'train 17'!$C$23:$C$37</c:f>
              <c:numCache/>
            </c:numRef>
          </c:val>
          <c:smooth val="0"/>
        </c:ser>
        <c:axId val="2068281297"/>
        <c:axId val="2033161388"/>
      </c:lineChart>
      <c:catAx>
        <c:axId val="2068281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161388"/>
      </c:catAx>
      <c:valAx>
        <c:axId val="2033161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2812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Sheet5!$H$2:$H$3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Sheet5!$C$4:$C$34</c:f>
            </c:strRef>
          </c:cat>
          <c:val>
            <c:numRef>
              <c:f>Sheet5!$H$4:$H$34</c:f>
              <c:numCache/>
            </c:numRef>
          </c:val>
        </c:ser>
        <c:ser>
          <c:idx val="1"/>
          <c:order val="1"/>
          <c:tx>
            <c:strRef>
              <c:f>Sheet5!$C$2:$C$3</c:f>
            </c:strRef>
          </c:tx>
          <c:cat>
            <c:strRef>
              <c:f>Sheet5!$C$4:$C$34</c:f>
            </c:strRef>
          </c:cat>
          <c:val>
            <c:numRef>
              <c:f>Sheet5!$C$4:$C$34</c:f>
              <c:numCache/>
            </c:numRef>
          </c:val>
        </c:ser>
        <c:axId val="339486086"/>
        <c:axId val="1531071787"/>
      </c:barChart>
      <c:catAx>
        <c:axId val="339486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071787"/>
      </c:catAx>
      <c:valAx>
        <c:axId val="1531071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486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10" Type="http://schemas.openxmlformats.org/officeDocument/2006/relationships/chart" Target="../charts/chart9.xml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40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609600</xdr:colOff>
      <xdr:row>74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104775</xdr:colOff>
      <xdr:row>87</xdr:row>
      <xdr:rowOff>200025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542925</xdr:colOff>
      <xdr:row>88</xdr:row>
      <xdr:rowOff>180975</xdr:rowOff>
    </xdr:from>
    <xdr:ext cx="5715000" cy="3533775"/>
    <xdr:pic>
      <xdr:nvPicPr>
        <xdr:cNvPr id="119005922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790575</xdr:colOff>
      <xdr:row>75</xdr:row>
      <xdr:rowOff>257175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819150</xdr:colOff>
      <xdr:row>124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104775</xdr:colOff>
      <xdr:row>232</xdr:row>
      <xdr:rowOff>152400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180975</xdr:colOff>
      <xdr:row>248</xdr:row>
      <xdr:rowOff>276225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14</xdr:col>
      <xdr:colOff>171450</xdr:colOff>
      <xdr:row>245</xdr:row>
      <xdr:rowOff>9525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333375</xdr:colOff>
      <xdr:row>262</xdr:row>
      <xdr:rowOff>171450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685800</xdr:colOff>
      <xdr:row>4</xdr:row>
      <xdr:rowOff>200025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514350</xdr:colOff>
      <xdr:row>22</xdr:row>
      <xdr:rowOff>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361950</xdr:colOff>
      <xdr:row>40</xdr:row>
      <xdr:rowOff>238125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409575</xdr:colOff>
      <xdr:row>40</xdr:row>
      <xdr:rowOff>238125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409575</xdr:colOff>
      <xdr:row>21</xdr:row>
      <xdr:rowOff>209550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14</xdr:col>
      <xdr:colOff>409575</xdr:colOff>
      <xdr:row>4</xdr:row>
      <xdr:rowOff>200025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41</xdr:row>
      <xdr:rowOff>66675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485775</xdr:colOff>
      <xdr:row>24</xdr:row>
      <xdr:rowOff>200025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38</xdr:row>
      <xdr:rowOff>0</xdr:rowOff>
    </xdr:from>
    <xdr:ext cx="9963150" cy="61626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thony Ho" id="{dd458a82-2f4d-47af-915c-7ffb357c5fcf}" providerId="google-sheets"/>
</x18tc:personList>
</file>

<file path=xl/tables/table1.xml><?xml version="1.0" encoding="utf-8"?>
<table xmlns="http://schemas.openxmlformats.org/spreadsheetml/2006/main" ref="A1:F37" displayName="speed_14" name="speed_14" id="1">
  <tableColumns count="6">
    <tableColumn name="from" id="1"/>
    <tableColumn name="to" id="2"/>
    <tableColumn name="dist (mm)" id="3"/>
    <tableColumn name="ticks" id="4"/>
    <tableColumn name="dist" id="5"/>
    <tableColumn name="spd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J25:J27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44:F67" displayName="speed_4" name="speed_4" id="3">
  <tableColumns count="6">
    <tableColumn name="from" id="1"/>
    <tableColumn name="to" id="2"/>
    <tableColumn name="dist (mm)" id="3"/>
    <tableColumn name="ticks" id="4"/>
    <tableColumn name="dist" id="5"/>
    <tableColumn name="spd" id="6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74:F102" displayName="Table1" name="Table1" id="4">
  <tableColumns count="6">
    <tableColumn name="from" id="1"/>
    <tableColumn name="to" id="2"/>
    <tableColumn name="dist (mm)" id="3"/>
    <tableColumn name="ticks" id="4"/>
    <tableColumn name="dist" id="5"/>
    <tableColumn name="spd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124:F149" displayName="Table2" name="Table2" id="5">
  <tableColumns count="6">
    <tableColumn name="from" id="1"/>
    <tableColumn name="to" id="2"/>
    <tableColumn name="dist (mm)" id="3"/>
    <tableColumn name="ticks" id="4"/>
    <tableColumn name="spd" id="5"/>
    <tableColumn name="deltat" id="6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166:F203" displayName="Table3" name="Table3" id="6">
  <tableColumns count="6">
    <tableColumn name="from" id="1"/>
    <tableColumn name="to" id="2"/>
    <tableColumn name="dist (mm)" id="3"/>
    <tableColumn name="ticks" id="4"/>
    <tableColumn name="spd" id="5"/>
    <tableColumn name="tticks" id="6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B246:F261" displayName="Table4" name="Table4" id="7">
  <tableColumns count="5">
    <tableColumn name="spd_lvl" id="1"/>
    <tableColumn name="avg_speed" id="2"/>
    <tableColumn name="speed" id="3"/>
    <tableColumn name="stop_dist(mm)" id="4"/>
    <tableColumn name="d_val(nm/t^2)" id="5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2:G18" displayName="topspeedists" name="topspeedists" id="8">
  <tableColumns count="7">
    <tableColumn name="from" id="1"/>
    <tableColumn name="to" id="2"/>
    <tableColumn name="dist (mm)" id="3"/>
    <tableColumn name="ticks" id="4"/>
    <tableColumn name="tdist" id="5"/>
    <tableColumn name="ttick" id="6"/>
    <tableColumn name="ve" id="7"/>
  </tableColumns>
  <tableStyleInfo name="train 15-style" showColumnStripes="0" showFirstColumn="1" showLastColumn="1" showRowStripes="1"/>
</table>
</file>

<file path=xl/tables/table9.xml><?xml version="1.0" encoding="utf-8"?>
<table xmlns="http://schemas.openxmlformats.org/spreadsheetml/2006/main" ref="A20:I37" displayName="decel_dists" name="decel_dists" id="9">
  <tableColumns count="9">
    <tableColumn name="from" id="1"/>
    <tableColumn name="to" id="2"/>
    <tableColumn name="dist (mm)" id="3"/>
    <tableColumn name="ticks" id="4"/>
    <tableColumn name="tdist" id="5"/>
    <tableColumn name="ttick" id="6"/>
    <tableColumn name="ve" id="7"/>
    <tableColumn name="Column 1" id="8"/>
    <tableColumn name="Column 2" id="9"/>
  </tableColumns>
  <tableStyleInfo name="train 15-style 2" showColumnStripes="0" showFirstColumn="1" showLastColumn="1" showRowStripes="1"/>
</table>
</file>

<file path=xl/tables/table10.xml><?xml version="1.0" encoding="utf-8"?>
<table xmlns="http://schemas.openxmlformats.org/spreadsheetml/2006/main" ref="A39:H55" displayName="accel_dis" name="accel_dis" id="10">
  <tableColumns count="8">
    <tableColumn name="from" id="1"/>
    <tableColumn name="to" id="2"/>
    <tableColumn name="dist (mm)" id="3"/>
    <tableColumn name="ticks" id="4"/>
    <tableColumn name="tdist" id="5"/>
    <tableColumn name="ttick" id="6"/>
    <tableColumn name="ve" id="7"/>
    <tableColumn name="Column 1" id="8"/>
  </tableColumns>
  <tableStyleInfo name="train 15-style 3" showColumnStripes="0" showFirstColumn="1" showLastColumn="1" showRowStripes="1"/>
</table>
</file>

<file path=xl/tables/table11.xml><?xml version="1.0" encoding="utf-8"?>
<table xmlns="http://schemas.openxmlformats.org/spreadsheetml/2006/main" ref="A60:F111" displayName="raw" name="raw" id="11">
  <tableColumns count="6">
    <tableColumn name="from" id="1"/>
    <tableColumn name="to" id="2"/>
    <tableColumn name="dist (mm)" id="3"/>
    <tableColumn name="ticks" id="4"/>
    <tableColumn name="spd" id="5"/>
    <tableColumn name="tticks" id="6"/>
  </tableColumns>
  <tableStyleInfo name="train 15-style 4" showColumnStripes="0" showFirstColumn="1" showLastColumn="1" showRowStripes="1"/>
</table>
</file>

<file path=xl/tables/table12.xml><?xml version="1.0" encoding="utf-8"?>
<table xmlns="http://schemas.openxmlformats.org/spreadsheetml/2006/main" headerRowCount="0" ref="B44:B47" displayName="Table_2" name="Table_2" id="12">
  <tableColumns count="1">
    <tableColumn name="Column1" id="1"/>
  </tableColumns>
  <tableStyleInfo name="train 1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6" dT="2026-07-21T15:57:12.00" personId="{dd458a82-2f4d-47af-915c-7ffb357c5fcf}" id="{9b02a53f-e980-43c4-a69a-1a068c552f81}" done="0">
    <x18tc:text xml:space="preserve">faked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0"/>
    <col customWidth="1" min="21" max="21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78.0</v>
      </c>
      <c r="B2" s="3" t="s">
        <v>6</v>
      </c>
      <c r="C2" s="2">
        <v>905.0</v>
      </c>
      <c r="D2" s="2">
        <v>2600.0</v>
      </c>
      <c r="E2" s="4">
        <f>C2</f>
        <v>905</v>
      </c>
      <c r="F2" s="5">
        <f t="shared" ref="F2:F37" si="1">C2/D2*1000</f>
        <v>348.0769231</v>
      </c>
    </row>
    <row r="3" ht="22.5" customHeight="1">
      <c r="A3" s="2">
        <v>53.0</v>
      </c>
      <c r="B3" s="3" t="s">
        <v>7</v>
      </c>
      <c r="C3" s="2">
        <v>282.0</v>
      </c>
      <c r="D3" s="2">
        <v>600.0</v>
      </c>
      <c r="E3" s="4">
        <f t="shared" ref="E3:E37" si="2">C3+E2</f>
        <v>1187</v>
      </c>
      <c r="F3" s="5">
        <f t="shared" si="1"/>
        <v>470</v>
      </c>
    </row>
    <row r="4" ht="22.5" customHeight="1">
      <c r="A4" s="2">
        <v>70.0</v>
      </c>
      <c r="B4" s="3" t="s">
        <v>8</v>
      </c>
      <c r="C4" s="2">
        <v>289.0</v>
      </c>
      <c r="D4" s="2">
        <v>500.0</v>
      </c>
      <c r="E4" s="4">
        <f t="shared" si="2"/>
        <v>1476</v>
      </c>
      <c r="F4" s="5">
        <f t="shared" si="1"/>
        <v>578</v>
      </c>
    </row>
    <row r="5" ht="22.5" customHeight="1">
      <c r="A5" s="2">
        <v>52.0</v>
      </c>
      <c r="B5" s="3" t="s">
        <v>9</v>
      </c>
      <c r="C5" s="2">
        <v>404.0</v>
      </c>
      <c r="D5" s="2">
        <v>700.0</v>
      </c>
      <c r="E5" s="4">
        <f t="shared" si="2"/>
        <v>1880</v>
      </c>
      <c r="F5" s="5">
        <f t="shared" si="1"/>
        <v>577.1428571</v>
      </c>
    </row>
    <row r="6" ht="22.5" customHeight="1">
      <c r="A6" s="2">
        <v>22.0</v>
      </c>
      <c r="B6" s="3" t="s">
        <v>10</v>
      </c>
      <c r="C6" s="2">
        <v>351.0</v>
      </c>
      <c r="D6" s="2">
        <v>600.0</v>
      </c>
      <c r="E6" s="4">
        <f t="shared" si="2"/>
        <v>2231</v>
      </c>
      <c r="F6" s="5">
        <f t="shared" si="1"/>
        <v>585</v>
      </c>
    </row>
    <row r="7" ht="22.5" customHeight="1">
      <c r="A7" s="2">
        <v>44.0</v>
      </c>
      <c r="B7" s="3" t="s">
        <v>11</v>
      </c>
      <c r="C7" s="2">
        <v>376.0</v>
      </c>
      <c r="D7" s="2">
        <v>600.0</v>
      </c>
      <c r="E7" s="4">
        <f t="shared" si="2"/>
        <v>2607</v>
      </c>
      <c r="F7" s="5">
        <f t="shared" si="1"/>
        <v>626.6666667</v>
      </c>
    </row>
    <row r="8" ht="22.5" customHeight="1">
      <c r="A8" s="2">
        <v>4.0</v>
      </c>
      <c r="B8" s="3" t="s">
        <v>12</v>
      </c>
      <c r="C8" s="2">
        <v>437.0</v>
      </c>
      <c r="D8" s="2">
        <v>700.0</v>
      </c>
      <c r="E8" s="4">
        <f t="shared" si="2"/>
        <v>3044</v>
      </c>
      <c r="F8" s="5">
        <f t="shared" si="1"/>
        <v>624.2857143</v>
      </c>
    </row>
    <row r="9" ht="22.5" customHeight="1">
      <c r="A9" s="2">
        <v>32.0</v>
      </c>
      <c r="B9" s="3" t="s">
        <v>13</v>
      </c>
      <c r="C9" s="2">
        <v>376.0</v>
      </c>
      <c r="D9" s="2">
        <v>700.0</v>
      </c>
      <c r="E9" s="4">
        <f t="shared" si="2"/>
        <v>3420</v>
      </c>
      <c r="F9" s="5">
        <f t="shared" si="1"/>
        <v>537.1428571</v>
      </c>
    </row>
    <row r="10" ht="22.5" customHeight="1">
      <c r="A10" s="2">
        <v>42.0</v>
      </c>
      <c r="B10" s="3" t="s">
        <v>14</v>
      </c>
      <c r="C10" s="2">
        <v>359.0</v>
      </c>
      <c r="D10" s="2">
        <v>600.0</v>
      </c>
      <c r="E10" s="4">
        <f t="shared" si="2"/>
        <v>3779</v>
      </c>
      <c r="F10" s="5">
        <f t="shared" si="1"/>
        <v>598.3333333</v>
      </c>
    </row>
    <row r="11" ht="22.5" customHeight="1">
      <c r="A11" s="2">
        <v>17.0</v>
      </c>
      <c r="B11" s="3" t="s">
        <v>15</v>
      </c>
      <c r="C11" s="2">
        <v>404.0</v>
      </c>
      <c r="D11" s="2">
        <v>600.0</v>
      </c>
      <c r="E11" s="4">
        <f t="shared" si="2"/>
        <v>4183</v>
      </c>
      <c r="F11" s="5">
        <f t="shared" si="1"/>
        <v>673.3333333</v>
      </c>
    </row>
    <row r="12" ht="22.5" customHeight="1">
      <c r="A12" s="2">
        <v>62.0</v>
      </c>
      <c r="B12" s="3" t="s">
        <v>16</v>
      </c>
      <c r="C12" s="2">
        <v>282.0</v>
      </c>
      <c r="D12" s="2">
        <v>500.0</v>
      </c>
      <c r="E12" s="4">
        <f t="shared" si="2"/>
        <v>4465</v>
      </c>
      <c r="F12" s="5">
        <f t="shared" si="1"/>
        <v>564</v>
      </c>
    </row>
    <row r="13" ht="22.5" customHeight="1">
      <c r="A13" s="2">
        <v>78.0</v>
      </c>
      <c r="B13" s="3" t="s">
        <v>6</v>
      </c>
      <c r="C13" s="2">
        <f>905+94</f>
        <v>999</v>
      </c>
      <c r="D13" s="2">
        <v>1701.0</v>
      </c>
      <c r="E13" s="4">
        <f t="shared" si="2"/>
        <v>5464</v>
      </c>
      <c r="F13" s="5">
        <f t="shared" si="1"/>
        <v>587.3015873</v>
      </c>
    </row>
    <row r="14" ht="22.5" customHeight="1">
      <c r="A14" s="2">
        <v>53.0</v>
      </c>
      <c r="B14" s="3" t="s">
        <v>7</v>
      </c>
      <c r="C14" s="2">
        <v>376.0</v>
      </c>
      <c r="D14" s="2">
        <v>600.0</v>
      </c>
      <c r="E14" s="4">
        <f t="shared" si="2"/>
        <v>5840</v>
      </c>
      <c r="F14" s="5">
        <f t="shared" si="1"/>
        <v>626.6666667</v>
      </c>
    </row>
    <row r="15" ht="22.5" customHeight="1">
      <c r="A15" s="2">
        <v>70.0</v>
      </c>
      <c r="B15" s="3" t="s">
        <v>8</v>
      </c>
      <c r="C15" s="2">
        <v>289.0</v>
      </c>
      <c r="D15" s="2">
        <v>500.0</v>
      </c>
      <c r="E15" s="4">
        <f t="shared" si="2"/>
        <v>6129</v>
      </c>
      <c r="F15" s="5">
        <f t="shared" si="1"/>
        <v>578</v>
      </c>
    </row>
    <row r="16" ht="22.5" customHeight="1">
      <c r="A16" s="2">
        <v>52.0</v>
      </c>
      <c r="B16" s="3" t="s">
        <v>9</v>
      </c>
      <c r="C16" s="2">
        <v>404.0</v>
      </c>
      <c r="D16" s="2">
        <v>600.0</v>
      </c>
      <c r="E16" s="4">
        <f t="shared" si="2"/>
        <v>6533</v>
      </c>
      <c r="F16" s="5">
        <f t="shared" si="1"/>
        <v>673.3333333</v>
      </c>
    </row>
    <row r="17" ht="22.5" customHeight="1">
      <c r="A17" s="2">
        <v>22.0</v>
      </c>
      <c r="B17" s="3" t="s">
        <v>10</v>
      </c>
      <c r="C17" s="2">
        <v>351.0</v>
      </c>
      <c r="D17" s="2">
        <v>600.0</v>
      </c>
      <c r="E17" s="4">
        <f t="shared" si="2"/>
        <v>6884</v>
      </c>
      <c r="F17" s="5">
        <f t="shared" si="1"/>
        <v>585</v>
      </c>
    </row>
    <row r="18" ht="22.5" customHeight="1">
      <c r="A18" s="2">
        <v>44.0</v>
      </c>
      <c r="B18" s="3" t="s">
        <v>11</v>
      </c>
      <c r="C18" s="2">
        <v>376.0</v>
      </c>
      <c r="D18" s="2">
        <v>600.0</v>
      </c>
      <c r="E18" s="4">
        <f t="shared" si="2"/>
        <v>7260</v>
      </c>
      <c r="F18" s="5">
        <f t="shared" si="1"/>
        <v>626.6666667</v>
      </c>
    </row>
    <row r="19" ht="22.5" customHeight="1">
      <c r="A19" s="2">
        <v>4.0</v>
      </c>
      <c r="B19" s="3" t="s">
        <v>12</v>
      </c>
      <c r="C19" s="2">
        <v>437.0</v>
      </c>
      <c r="D19" s="2">
        <v>700.0</v>
      </c>
      <c r="E19" s="4">
        <f t="shared" si="2"/>
        <v>7697</v>
      </c>
      <c r="F19" s="5">
        <f t="shared" si="1"/>
        <v>624.2857143</v>
      </c>
    </row>
    <row r="20" ht="22.5" customHeight="1">
      <c r="A20" s="2">
        <v>32.0</v>
      </c>
      <c r="B20" s="3" t="s">
        <v>13</v>
      </c>
      <c r="C20" s="2">
        <v>376.0</v>
      </c>
      <c r="D20" s="2">
        <v>700.0</v>
      </c>
      <c r="E20" s="4">
        <f t="shared" si="2"/>
        <v>8073</v>
      </c>
      <c r="F20" s="5">
        <f t="shared" si="1"/>
        <v>537.1428571</v>
      </c>
    </row>
    <row r="21" ht="22.5" customHeight="1">
      <c r="A21" s="2">
        <v>42.0</v>
      </c>
      <c r="B21" s="3" t="s">
        <v>14</v>
      </c>
      <c r="C21" s="2">
        <v>359.0</v>
      </c>
      <c r="D21" s="2">
        <v>600.0</v>
      </c>
      <c r="E21" s="4">
        <f t="shared" si="2"/>
        <v>8432</v>
      </c>
      <c r="F21" s="5">
        <f t="shared" si="1"/>
        <v>598.3333333</v>
      </c>
    </row>
    <row r="22" ht="22.5" customHeight="1">
      <c r="A22" s="2">
        <v>17.0</v>
      </c>
      <c r="B22" s="3" t="s">
        <v>15</v>
      </c>
      <c r="C22" s="2">
        <v>404.0</v>
      </c>
      <c r="D22" s="2">
        <v>600.0</v>
      </c>
      <c r="E22" s="4">
        <f t="shared" si="2"/>
        <v>8836</v>
      </c>
      <c r="F22" s="5">
        <f t="shared" si="1"/>
        <v>673.3333333</v>
      </c>
    </row>
    <row r="23" ht="22.5" customHeight="1">
      <c r="A23" s="2">
        <v>62.0</v>
      </c>
      <c r="B23" s="3" t="s">
        <v>16</v>
      </c>
      <c r="C23" s="2">
        <v>282.0</v>
      </c>
      <c r="D23" s="2">
        <v>500.0</v>
      </c>
      <c r="E23" s="4">
        <f t="shared" si="2"/>
        <v>9118</v>
      </c>
      <c r="F23" s="5">
        <f t="shared" si="1"/>
        <v>564</v>
      </c>
    </row>
    <row r="24" ht="22.5" customHeight="1">
      <c r="A24" s="2">
        <v>78.0</v>
      </c>
      <c r="B24" s="3" t="s">
        <v>6</v>
      </c>
      <c r="C24" s="2">
        <f>905+94</f>
        <v>999</v>
      </c>
      <c r="D24" s="2">
        <v>1600.0</v>
      </c>
      <c r="E24" s="4">
        <f t="shared" si="2"/>
        <v>10117</v>
      </c>
      <c r="F24" s="5">
        <f t="shared" si="1"/>
        <v>624.375</v>
      </c>
    </row>
    <row r="25" ht="22.5" customHeight="1">
      <c r="A25" s="2">
        <v>53.0</v>
      </c>
      <c r="B25" s="3" t="s">
        <v>7</v>
      </c>
      <c r="C25" s="2">
        <v>376.0</v>
      </c>
      <c r="D25" s="2">
        <v>600.0</v>
      </c>
      <c r="E25" s="4">
        <f t="shared" si="2"/>
        <v>10493</v>
      </c>
      <c r="F25" s="5">
        <f t="shared" si="1"/>
        <v>626.6666667</v>
      </c>
    </row>
    <row r="26" ht="22.5" customHeight="1">
      <c r="A26" s="2">
        <v>70.0</v>
      </c>
      <c r="B26" s="3" t="s">
        <v>8</v>
      </c>
      <c r="C26" s="2">
        <v>289.0</v>
      </c>
      <c r="D26" s="2">
        <v>500.0</v>
      </c>
      <c r="E26" s="4">
        <f t="shared" si="2"/>
        <v>10782</v>
      </c>
      <c r="F26" s="5">
        <f t="shared" si="1"/>
        <v>578</v>
      </c>
    </row>
    <row r="27" ht="22.5" customHeight="1">
      <c r="A27" s="2">
        <v>52.0</v>
      </c>
      <c r="B27" s="3" t="s">
        <v>9</v>
      </c>
      <c r="C27" s="2">
        <v>404.0</v>
      </c>
      <c r="D27" s="2">
        <v>700.0</v>
      </c>
      <c r="E27" s="4">
        <f t="shared" si="2"/>
        <v>11186</v>
      </c>
      <c r="F27" s="5">
        <f t="shared" si="1"/>
        <v>577.1428571</v>
      </c>
      <c r="H27" s="6">
        <f>AVERAGE(F16:F37)</f>
        <v>610.1234249</v>
      </c>
    </row>
    <row r="28" ht="22.5" customHeight="1">
      <c r="A28" s="2">
        <v>22.0</v>
      </c>
      <c r="B28" s="3" t="s">
        <v>10</v>
      </c>
      <c r="C28" s="2">
        <v>351.0</v>
      </c>
      <c r="D28" s="2">
        <v>601.0</v>
      </c>
      <c r="E28" s="4">
        <f t="shared" si="2"/>
        <v>11537</v>
      </c>
      <c r="F28" s="5">
        <f t="shared" si="1"/>
        <v>584.0266223</v>
      </c>
      <c r="H28" s="6">
        <f>MAX(F16:F37)</f>
        <v>705</v>
      </c>
      <c r="I28" s="6">
        <f>H28/H27</f>
        <v>1.155503905</v>
      </c>
    </row>
    <row r="29" ht="22.5" customHeight="1">
      <c r="A29" s="2">
        <v>44.0</v>
      </c>
      <c r="B29" s="3" t="s">
        <v>11</v>
      </c>
      <c r="C29" s="2">
        <v>376.0</v>
      </c>
      <c r="D29" s="2">
        <v>600.0</v>
      </c>
      <c r="E29" s="4">
        <f t="shared" si="2"/>
        <v>11913</v>
      </c>
      <c r="F29" s="5">
        <f t="shared" si="1"/>
        <v>626.6666667</v>
      </c>
      <c r="H29" s="6">
        <f>min(F16:F37)</f>
        <v>537.1428571</v>
      </c>
      <c r="I29" s="6">
        <f>H29/H27</f>
        <v>0.8803839276</v>
      </c>
    </row>
    <row r="30" ht="22.5" customHeight="1">
      <c r="A30" s="2">
        <v>4.0</v>
      </c>
      <c r="B30" s="3" t="s">
        <v>12</v>
      </c>
      <c r="C30" s="2">
        <v>437.0</v>
      </c>
      <c r="D30" s="2">
        <v>700.0</v>
      </c>
      <c r="E30" s="4">
        <f t="shared" si="2"/>
        <v>12350</v>
      </c>
      <c r="F30" s="5">
        <f t="shared" si="1"/>
        <v>624.2857143</v>
      </c>
    </row>
    <row r="31" ht="22.5" customHeight="1">
      <c r="A31" s="2">
        <v>32.0</v>
      </c>
      <c r="B31" s="3" t="s">
        <v>13</v>
      </c>
      <c r="C31" s="2">
        <v>376.0</v>
      </c>
      <c r="D31" s="2">
        <v>600.0</v>
      </c>
      <c r="E31" s="4">
        <f t="shared" si="2"/>
        <v>12726</v>
      </c>
      <c r="F31" s="5">
        <f t="shared" si="1"/>
        <v>626.6666667</v>
      </c>
    </row>
    <row r="32" ht="22.5" customHeight="1">
      <c r="A32" s="2">
        <v>42.0</v>
      </c>
      <c r="B32" s="3" t="s">
        <v>14</v>
      </c>
      <c r="C32" s="2">
        <v>359.0</v>
      </c>
      <c r="D32" s="2">
        <v>600.0</v>
      </c>
      <c r="E32" s="4">
        <f t="shared" si="2"/>
        <v>13085</v>
      </c>
      <c r="F32" s="5">
        <f t="shared" si="1"/>
        <v>598.3333333</v>
      </c>
    </row>
    <row r="33" ht="22.5" customHeight="1">
      <c r="A33" s="2">
        <v>17.0</v>
      </c>
      <c r="B33" s="3" t="s">
        <v>15</v>
      </c>
      <c r="C33" s="2">
        <v>404.0</v>
      </c>
      <c r="D33" s="2">
        <v>700.0</v>
      </c>
      <c r="E33" s="4">
        <f t="shared" si="2"/>
        <v>13489</v>
      </c>
      <c r="F33" s="5">
        <f t="shared" si="1"/>
        <v>577.1428571</v>
      </c>
    </row>
    <row r="34" ht="22.5" customHeight="1">
      <c r="A34" s="2">
        <v>62.0</v>
      </c>
      <c r="B34" s="3" t="s">
        <v>16</v>
      </c>
      <c r="C34" s="2">
        <v>282.0</v>
      </c>
      <c r="D34" s="2">
        <v>400.0</v>
      </c>
      <c r="E34" s="4">
        <f t="shared" si="2"/>
        <v>13771</v>
      </c>
      <c r="F34" s="5">
        <f t="shared" si="1"/>
        <v>705</v>
      </c>
    </row>
    <row r="35" ht="22.5" customHeight="1">
      <c r="A35" s="2">
        <v>78.0</v>
      </c>
      <c r="B35" s="3" t="s">
        <v>6</v>
      </c>
      <c r="C35" s="2">
        <f>905+94</f>
        <v>999</v>
      </c>
      <c r="D35" s="2">
        <v>1700.0</v>
      </c>
      <c r="E35" s="4">
        <f t="shared" si="2"/>
        <v>14770</v>
      </c>
      <c r="F35" s="5">
        <f t="shared" si="1"/>
        <v>587.6470588</v>
      </c>
    </row>
    <row r="36" ht="22.5" customHeight="1">
      <c r="A36" s="2">
        <v>53.0</v>
      </c>
      <c r="B36" s="3" t="s">
        <v>7</v>
      </c>
      <c r="C36" s="2">
        <v>376.0</v>
      </c>
      <c r="D36" s="2">
        <v>600.0</v>
      </c>
      <c r="E36" s="4">
        <f t="shared" si="2"/>
        <v>15146</v>
      </c>
      <c r="F36" s="5">
        <f t="shared" si="1"/>
        <v>626.6666667</v>
      </c>
    </row>
    <row r="37" ht="22.5" customHeight="1">
      <c r="A37" s="2">
        <v>70.0</v>
      </c>
      <c r="B37" s="3" t="s">
        <v>8</v>
      </c>
      <c r="C37" s="2">
        <v>289.0</v>
      </c>
      <c r="D37" s="2">
        <v>500.0</v>
      </c>
      <c r="E37" s="4">
        <f t="shared" si="2"/>
        <v>15435</v>
      </c>
      <c r="F37" s="5">
        <f t="shared" si="1"/>
        <v>578</v>
      </c>
    </row>
    <row r="44" ht="22.5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ht="22.5" customHeight="1">
      <c r="A45" s="2">
        <v>70.0</v>
      </c>
      <c r="B45" s="3" t="s">
        <v>8</v>
      </c>
      <c r="C45" s="2">
        <v>289.0</v>
      </c>
      <c r="D45" s="2">
        <v>4400.0</v>
      </c>
      <c r="E45" s="4">
        <f>C45</f>
        <v>289</v>
      </c>
      <c r="F45" s="4">
        <f t="shared" ref="F45:F67" si="3">C45/D45*1000</f>
        <v>65.68181818</v>
      </c>
    </row>
    <row r="46" ht="22.5" customHeight="1">
      <c r="A46" s="2">
        <v>52.0</v>
      </c>
      <c r="B46" s="3" t="s">
        <v>9</v>
      </c>
      <c r="C46" s="2">
        <v>404.0</v>
      </c>
      <c r="D46" s="2">
        <v>6101.0</v>
      </c>
      <c r="E46" s="4">
        <f t="shared" ref="E46:E67" si="4">E45+C46</f>
        <v>693</v>
      </c>
      <c r="F46" s="4">
        <f t="shared" si="3"/>
        <v>66.21865268</v>
      </c>
    </row>
    <row r="47" ht="22.5" customHeight="1">
      <c r="A47" s="2">
        <v>22.0</v>
      </c>
      <c r="B47" s="3" t="s">
        <v>10</v>
      </c>
      <c r="C47" s="2">
        <v>351.0</v>
      </c>
      <c r="D47" s="2">
        <v>5401.0</v>
      </c>
      <c r="E47" s="4">
        <f t="shared" si="4"/>
        <v>1044</v>
      </c>
      <c r="F47" s="4">
        <f t="shared" si="3"/>
        <v>64.98796519</v>
      </c>
    </row>
    <row r="48" ht="22.5" customHeight="1">
      <c r="A48" s="2">
        <v>44.0</v>
      </c>
      <c r="B48" s="3" t="s">
        <v>11</v>
      </c>
      <c r="C48" s="2">
        <v>376.0</v>
      </c>
      <c r="D48" s="2">
        <v>5600.0</v>
      </c>
      <c r="E48" s="4">
        <f t="shared" si="4"/>
        <v>1420</v>
      </c>
      <c r="F48" s="4">
        <f t="shared" si="3"/>
        <v>67.14285714</v>
      </c>
    </row>
    <row r="49" ht="22.5" customHeight="1">
      <c r="A49" s="2">
        <v>4.0</v>
      </c>
      <c r="B49" s="3" t="s">
        <v>12</v>
      </c>
      <c r="C49" s="2">
        <v>437.0</v>
      </c>
      <c r="D49" s="2">
        <v>6701.0</v>
      </c>
      <c r="E49" s="4">
        <f t="shared" si="4"/>
        <v>1857</v>
      </c>
      <c r="F49" s="4">
        <f t="shared" si="3"/>
        <v>65.21414714</v>
      </c>
    </row>
    <row r="50" ht="22.5" customHeight="1">
      <c r="A50" s="2">
        <v>32.0</v>
      </c>
      <c r="B50" s="3" t="s">
        <v>13</v>
      </c>
      <c r="C50" s="2">
        <v>376.0</v>
      </c>
      <c r="D50" s="2">
        <v>5700.0</v>
      </c>
      <c r="E50" s="4">
        <f t="shared" si="4"/>
        <v>2233</v>
      </c>
      <c r="F50" s="4">
        <f t="shared" si="3"/>
        <v>65.96491228</v>
      </c>
    </row>
    <row r="51" ht="22.5" customHeight="1">
      <c r="A51" s="2">
        <v>42.0</v>
      </c>
      <c r="B51" s="3" t="s">
        <v>14</v>
      </c>
      <c r="C51" s="2">
        <v>359.0</v>
      </c>
      <c r="D51" s="2">
        <v>5501.0</v>
      </c>
      <c r="E51" s="4">
        <f t="shared" si="4"/>
        <v>2592</v>
      </c>
      <c r="F51" s="4">
        <f t="shared" si="3"/>
        <v>65.26086166</v>
      </c>
    </row>
    <row r="52" ht="22.5" customHeight="1">
      <c r="A52" s="2">
        <v>17.0</v>
      </c>
      <c r="B52" s="3" t="s">
        <v>15</v>
      </c>
      <c r="C52" s="2">
        <v>404.0</v>
      </c>
      <c r="D52" s="2">
        <v>6100.0</v>
      </c>
      <c r="E52" s="4">
        <f t="shared" si="4"/>
        <v>2996</v>
      </c>
      <c r="F52" s="4">
        <f t="shared" si="3"/>
        <v>66.2295082</v>
      </c>
    </row>
    <row r="53" ht="22.5" customHeight="1">
      <c r="A53" s="2">
        <v>62.0</v>
      </c>
      <c r="B53" s="3" t="s">
        <v>16</v>
      </c>
      <c r="C53" s="2">
        <v>282.0</v>
      </c>
      <c r="D53" s="2">
        <v>4300.0</v>
      </c>
      <c r="E53" s="4">
        <f t="shared" si="4"/>
        <v>3278</v>
      </c>
      <c r="F53" s="4">
        <f t="shared" si="3"/>
        <v>65.58139535</v>
      </c>
    </row>
    <row r="54" ht="22.5" customHeight="1">
      <c r="A54" s="2">
        <v>78.0</v>
      </c>
      <c r="B54" s="3" t="s">
        <v>6</v>
      </c>
      <c r="C54" s="2">
        <f>905+94</f>
        <v>999</v>
      </c>
      <c r="D54" s="2">
        <v>15202.0</v>
      </c>
      <c r="E54" s="4">
        <f t="shared" si="4"/>
        <v>4277</v>
      </c>
      <c r="F54" s="4">
        <f t="shared" si="3"/>
        <v>65.7150375</v>
      </c>
    </row>
    <row r="55" ht="22.5" customHeight="1">
      <c r="A55" s="2">
        <v>53.0</v>
      </c>
      <c r="B55" s="3" t="s">
        <v>7</v>
      </c>
      <c r="C55" s="2">
        <v>376.0</v>
      </c>
      <c r="D55" s="2">
        <v>5700.0</v>
      </c>
      <c r="E55" s="4">
        <f t="shared" si="4"/>
        <v>4653</v>
      </c>
      <c r="F55" s="4">
        <f t="shared" si="3"/>
        <v>65.96491228</v>
      </c>
    </row>
    <row r="56" ht="22.5" customHeight="1">
      <c r="A56" s="2">
        <v>70.0</v>
      </c>
      <c r="B56" s="3" t="s">
        <v>8</v>
      </c>
      <c r="C56" s="2">
        <v>289.0</v>
      </c>
      <c r="D56" s="2">
        <v>4401.0</v>
      </c>
      <c r="E56" s="4">
        <f t="shared" si="4"/>
        <v>4942</v>
      </c>
      <c r="F56" s="4">
        <f t="shared" si="3"/>
        <v>65.66689389</v>
      </c>
    </row>
    <row r="57" ht="22.5" customHeight="1">
      <c r="A57" s="2">
        <v>52.0</v>
      </c>
      <c r="B57" s="3" t="s">
        <v>9</v>
      </c>
      <c r="C57" s="2">
        <v>404.0</v>
      </c>
      <c r="D57" s="2">
        <v>6000.0</v>
      </c>
      <c r="E57" s="4">
        <f t="shared" si="4"/>
        <v>5346</v>
      </c>
      <c r="F57" s="4">
        <f t="shared" si="3"/>
        <v>67.33333333</v>
      </c>
    </row>
    <row r="58" ht="22.5" customHeight="1">
      <c r="A58" s="2">
        <v>22.0</v>
      </c>
      <c r="B58" s="3" t="s">
        <v>10</v>
      </c>
      <c r="C58" s="2">
        <v>351.0</v>
      </c>
      <c r="D58" s="2">
        <v>5400.0</v>
      </c>
      <c r="E58" s="4">
        <f t="shared" si="4"/>
        <v>5697</v>
      </c>
      <c r="F58" s="4">
        <f t="shared" si="3"/>
        <v>65</v>
      </c>
    </row>
    <row r="59" ht="22.5" customHeight="1">
      <c r="A59" s="2">
        <v>44.0</v>
      </c>
      <c r="B59" s="3" t="s">
        <v>11</v>
      </c>
      <c r="C59" s="2">
        <v>376.0</v>
      </c>
      <c r="D59" s="2">
        <v>5601.0</v>
      </c>
      <c r="E59" s="4">
        <f t="shared" si="4"/>
        <v>6073</v>
      </c>
      <c r="F59" s="4">
        <f t="shared" si="3"/>
        <v>67.13086949</v>
      </c>
    </row>
    <row r="60" ht="22.5" customHeight="1">
      <c r="A60" s="2">
        <v>4.0</v>
      </c>
      <c r="B60" s="3" t="s">
        <v>12</v>
      </c>
      <c r="C60" s="2">
        <v>437.0</v>
      </c>
      <c r="D60" s="2">
        <v>6601.0</v>
      </c>
      <c r="E60" s="4">
        <f t="shared" si="4"/>
        <v>6510</v>
      </c>
      <c r="F60" s="4">
        <f t="shared" si="3"/>
        <v>66.20209059</v>
      </c>
    </row>
    <row r="61" ht="22.5" customHeight="1">
      <c r="A61" s="2">
        <v>32.0</v>
      </c>
      <c r="B61" s="3" t="s">
        <v>13</v>
      </c>
      <c r="C61" s="2">
        <v>376.0</v>
      </c>
      <c r="D61" s="2">
        <v>5700.0</v>
      </c>
      <c r="E61" s="4">
        <f t="shared" si="4"/>
        <v>6886</v>
      </c>
      <c r="F61" s="4">
        <f t="shared" si="3"/>
        <v>65.96491228</v>
      </c>
    </row>
    <row r="62" ht="22.5" customHeight="1">
      <c r="A62" s="2">
        <v>42.0</v>
      </c>
      <c r="B62" s="3" t="s">
        <v>14</v>
      </c>
      <c r="C62" s="2">
        <v>359.0</v>
      </c>
      <c r="D62" s="2">
        <v>5600.0</v>
      </c>
      <c r="E62" s="4">
        <f t="shared" si="4"/>
        <v>7245</v>
      </c>
      <c r="F62" s="4">
        <f t="shared" si="3"/>
        <v>64.10714286</v>
      </c>
    </row>
    <row r="63" ht="22.5" customHeight="1">
      <c r="A63" s="2">
        <v>17.0</v>
      </c>
      <c r="B63" s="3" t="s">
        <v>15</v>
      </c>
      <c r="C63" s="2">
        <v>404.0</v>
      </c>
      <c r="D63" s="2">
        <v>6001.0</v>
      </c>
      <c r="E63" s="4">
        <f t="shared" si="4"/>
        <v>7649</v>
      </c>
      <c r="F63" s="4">
        <f t="shared" si="3"/>
        <v>67.32211298</v>
      </c>
    </row>
    <row r="64" ht="22.5" customHeight="1">
      <c r="A64" s="2">
        <v>62.0</v>
      </c>
      <c r="B64" s="3" t="s">
        <v>16</v>
      </c>
      <c r="C64" s="2">
        <v>282.0</v>
      </c>
      <c r="D64" s="2">
        <v>4300.0</v>
      </c>
      <c r="E64" s="4">
        <f t="shared" si="4"/>
        <v>7931</v>
      </c>
      <c r="F64" s="4">
        <f t="shared" si="3"/>
        <v>65.58139535</v>
      </c>
    </row>
    <row r="65" ht="22.5" customHeight="1">
      <c r="A65" s="2">
        <v>78.0</v>
      </c>
      <c r="B65" s="3" t="s">
        <v>6</v>
      </c>
      <c r="C65" s="2">
        <f>905+94</f>
        <v>999</v>
      </c>
      <c r="D65" s="2">
        <v>15202.0</v>
      </c>
      <c r="E65" s="4">
        <f t="shared" si="4"/>
        <v>8930</v>
      </c>
      <c r="F65" s="4">
        <f t="shared" si="3"/>
        <v>65.7150375</v>
      </c>
      <c r="H65" s="7">
        <f>AVERAGE(F46:F67)</f>
        <v>65.95971767</v>
      </c>
    </row>
    <row r="66" ht="22.5" customHeight="1">
      <c r="A66" s="2">
        <v>53.0</v>
      </c>
      <c r="B66" s="3" t="s">
        <v>7</v>
      </c>
      <c r="C66" s="2">
        <v>376.0</v>
      </c>
      <c r="D66" s="2">
        <v>5600.0</v>
      </c>
      <c r="E66" s="4">
        <f t="shared" si="4"/>
        <v>9306</v>
      </c>
      <c r="F66" s="4">
        <f t="shared" si="3"/>
        <v>67.14285714</v>
      </c>
      <c r="H66" s="7">
        <f>min(F46:F67)</f>
        <v>64.10714286</v>
      </c>
      <c r="I66" s="6">
        <f>H66/H65</f>
        <v>0.9719135424</v>
      </c>
    </row>
    <row r="67" ht="22.5" customHeight="1">
      <c r="A67" s="2">
        <v>70.0</v>
      </c>
      <c r="B67" s="3" t="s">
        <v>8</v>
      </c>
      <c r="C67" s="2">
        <v>289.0</v>
      </c>
      <c r="D67" s="2">
        <v>4401.0</v>
      </c>
      <c r="E67" s="4">
        <f t="shared" si="4"/>
        <v>9595</v>
      </c>
      <c r="F67" s="4">
        <f t="shared" si="3"/>
        <v>65.66689389</v>
      </c>
      <c r="H67" s="7">
        <f>MAX(F46:F67)</f>
        <v>67.33333333</v>
      </c>
      <c r="I67" s="6">
        <f>H67/H65</f>
        <v>1.020825069</v>
      </c>
    </row>
    <row r="74" ht="22.5" customHeight="1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</row>
    <row r="75" ht="22.5" customHeight="1">
      <c r="A75" s="2">
        <v>62.0</v>
      </c>
      <c r="B75" s="3" t="s">
        <v>16</v>
      </c>
      <c r="C75" s="2">
        <v>282.0</v>
      </c>
      <c r="D75" s="2">
        <v>700.0</v>
      </c>
      <c r="E75" s="4">
        <f>C75</f>
        <v>282</v>
      </c>
      <c r="F75" s="5">
        <f t="shared" ref="F75:F100" si="5">C75/D75*1000</f>
        <v>402.8571429</v>
      </c>
    </row>
    <row r="76" ht="22.5" customHeight="1">
      <c r="A76" s="2">
        <v>78.0</v>
      </c>
      <c r="B76" s="3" t="s">
        <v>6</v>
      </c>
      <c r="C76" s="2">
        <v>905.0</v>
      </c>
      <c r="D76" s="2">
        <v>1900.0</v>
      </c>
      <c r="E76" s="4">
        <f t="shared" ref="E76:E100" si="6">C76+E75</f>
        <v>1187</v>
      </c>
      <c r="F76" s="5">
        <f t="shared" si="5"/>
        <v>476.3157895</v>
      </c>
    </row>
    <row r="77" ht="22.5" customHeight="1">
      <c r="A77" s="2">
        <v>53.0</v>
      </c>
      <c r="B77" s="3" t="s">
        <v>7</v>
      </c>
      <c r="C77" s="2">
        <v>282.0</v>
      </c>
      <c r="D77" s="2">
        <v>600.0</v>
      </c>
      <c r="E77" s="4">
        <f t="shared" si="6"/>
        <v>1469</v>
      </c>
      <c r="F77" s="5">
        <f t="shared" si="5"/>
        <v>470</v>
      </c>
    </row>
    <row r="78" ht="22.5" customHeight="1">
      <c r="A78" s="2">
        <v>70.0</v>
      </c>
      <c r="B78" s="3" t="s">
        <v>8</v>
      </c>
      <c r="C78" s="2">
        <v>289.0</v>
      </c>
      <c r="D78" s="2">
        <v>500.0</v>
      </c>
      <c r="E78" s="4">
        <f t="shared" si="6"/>
        <v>1758</v>
      </c>
      <c r="F78" s="5">
        <f t="shared" si="5"/>
        <v>578</v>
      </c>
    </row>
    <row r="79" ht="22.5" customHeight="1">
      <c r="A79" s="2">
        <v>52.0</v>
      </c>
      <c r="B79" s="3" t="s">
        <v>9</v>
      </c>
      <c r="C79" s="2">
        <v>404.0</v>
      </c>
      <c r="D79" s="2">
        <v>700.0</v>
      </c>
      <c r="E79" s="4">
        <f t="shared" si="6"/>
        <v>2162</v>
      </c>
      <c r="F79" s="5">
        <f t="shared" si="5"/>
        <v>577.1428571</v>
      </c>
    </row>
    <row r="80" ht="22.5" customHeight="1">
      <c r="A80" s="2">
        <v>22.0</v>
      </c>
      <c r="B80" s="3" t="s">
        <v>10</v>
      </c>
      <c r="C80" s="2">
        <v>351.0</v>
      </c>
      <c r="D80" s="2">
        <v>700.0</v>
      </c>
      <c r="E80" s="4">
        <f t="shared" si="6"/>
        <v>2513</v>
      </c>
      <c r="F80" s="5">
        <f t="shared" si="5"/>
        <v>501.4285714</v>
      </c>
    </row>
    <row r="81" ht="22.5" customHeight="1">
      <c r="A81" s="2">
        <v>44.0</v>
      </c>
      <c r="B81" s="3" t="s">
        <v>11</v>
      </c>
      <c r="C81" s="2">
        <v>376.0</v>
      </c>
      <c r="D81" s="2">
        <v>600.0</v>
      </c>
      <c r="E81" s="4">
        <f t="shared" si="6"/>
        <v>2889</v>
      </c>
      <c r="F81" s="5">
        <f t="shared" si="5"/>
        <v>626.6666667</v>
      </c>
    </row>
    <row r="82" ht="22.5" customHeight="1">
      <c r="A82" s="2">
        <v>4.0</v>
      </c>
      <c r="B82" s="3" t="s">
        <v>12</v>
      </c>
      <c r="C82" s="2">
        <v>437.0</v>
      </c>
      <c r="D82" s="2">
        <v>700.0</v>
      </c>
      <c r="E82" s="4">
        <f t="shared" si="6"/>
        <v>3326</v>
      </c>
      <c r="F82" s="5">
        <f t="shared" si="5"/>
        <v>624.2857143</v>
      </c>
    </row>
    <row r="83" ht="22.5" customHeight="1">
      <c r="A83" s="2">
        <v>32.0</v>
      </c>
      <c r="B83" s="3" t="s">
        <v>13</v>
      </c>
      <c r="C83" s="2">
        <v>376.0</v>
      </c>
      <c r="D83" s="2">
        <v>600.0</v>
      </c>
      <c r="E83" s="4">
        <f t="shared" si="6"/>
        <v>3702</v>
      </c>
      <c r="F83" s="5">
        <f t="shared" si="5"/>
        <v>626.6666667</v>
      </c>
    </row>
    <row r="84" ht="22.5" customHeight="1">
      <c r="A84" s="2">
        <v>42.0</v>
      </c>
      <c r="B84" s="3" t="s">
        <v>14</v>
      </c>
      <c r="C84" s="2">
        <v>359.0</v>
      </c>
      <c r="D84" s="2">
        <v>700.0</v>
      </c>
      <c r="E84" s="4">
        <f t="shared" si="6"/>
        <v>4061</v>
      </c>
      <c r="F84" s="5">
        <f t="shared" si="5"/>
        <v>512.8571429</v>
      </c>
    </row>
    <row r="85" ht="22.5" customHeight="1">
      <c r="A85" s="2">
        <v>17.0</v>
      </c>
      <c r="B85" s="3" t="s">
        <v>15</v>
      </c>
      <c r="C85" s="2">
        <v>404.0</v>
      </c>
      <c r="D85" s="2">
        <v>600.0</v>
      </c>
      <c r="E85" s="4">
        <f t="shared" si="6"/>
        <v>4465</v>
      </c>
      <c r="F85" s="5">
        <f t="shared" si="5"/>
        <v>673.3333333</v>
      </c>
    </row>
    <row r="86" ht="22.5" customHeight="1">
      <c r="A86" s="2">
        <v>62.0</v>
      </c>
      <c r="B86" s="3" t="s">
        <v>16</v>
      </c>
      <c r="C86" s="2">
        <v>282.0</v>
      </c>
      <c r="D86" s="2">
        <v>500.0</v>
      </c>
      <c r="E86" s="4">
        <f t="shared" si="6"/>
        <v>4747</v>
      </c>
      <c r="F86" s="5">
        <f t="shared" si="5"/>
        <v>564</v>
      </c>
    </row>
    <row r="87" ht="22.5" customHeight="1">
      <c r="A87" s="2">
        <v>78.0</v>
      </c>
      <c r="B87" s="3" t="s">
        <v>6</v>
      </c>
      <c r="C87" s="2">
        <v>905.0</v>
      </c>
      <c r="D87" s="2">
        <v>1701.0</v>
      </c>
      <c r="E87" s="4">
        <f t="shared" si="6"/>
        <v>5652</v>
      </c>
      <c r="F87" s="5">
        <f t="shared" si="5"/>
        <v>532.0399765</v>
      </c>
    </row>
    <row r="88" ht="22.5" customHeight="1">
      <c r="A88" s="2">
        <v>53.0</v>
      </c>
      <c r="B88" s="3" t="s">
        <v>7</v>
      </c>
      <c r="C88" s="2">
        <v>282.0</v>
      </c>
      <c r="D88" s="2">
        <v>600.0</v>
      </c>
      <c r="E88" s="4">
        <f t="shared" si="6"/>
        <v>5934</v>
      </c>
      <c r="F88" s="5">
        <f t="shared" si="5"/>
        <v>470</v>
      </c>
    </row>
    <row r="89" ht="22.5" customHeight="1">
      <c r="A89" s="2">
        <v>70.0</v>
      </c>
      <c r="B89" s="3" t="s">
        <v>8</v>
      </c>
      <c r="C89" s="2">
        <v>289.0</v>
      </c>
      <c r="D89" s="2">
        <v>500.0</v>
      </c>
      <c r="E89" s="4">
        <f t="shared" si="6"/>
        <v>6223</v>
      </c>
      <c r="F89" s="5">
        <f t="shared" si="5"/>
        <v>578</v>
      </c>
      <c r="H89" s="6">
        <f>AVERAGE(F76:F97)</f>
        <v>473.049445</v>
      </c>
    </row>
    <row r="90" ht="22.5" customHeight="1">
      <c r="A90" s="2">
        <v>52.0</v>
      </c>
      <c r="B90" s="3" t="s">
        <v>9</v>
      </c>
      <c r="C90" s="2">
        <v>404.0</v>
      </c>
      <c r="D90" s="2">
        <v>600.0</v>
      </c>
      <c r="E90" s="4">
        <f t="shared" si="6"/>
        <v>6627</v>
      </c>
      <c r="F90" s="5">
        <f t="shared" si="5"/>
        <v>673.3333333</v>
      </c>
      <c r="H90" s="6">
        <f>MAX(F76:F97)</f>
        <v>673.3333333</v>
      </c>
      <c r="I90" s="6">
        <f>H90/H89</f>
        <v>1.423388909</v>
      </c>
    </row>
    <row r="91" ht="22.5" customHeight="1">
      <c r="A91" s="2">
        <v>22.0</v>
      </c>
      <c r="B91" s="3" t="s">
        <v>10</v>
      </c>
      <c r="C91" s="2">
        <v>351.0</v>
      </c>
      <c r="D91" s="2">
        <v>600.0</v>
      </c>
      <c r="E91" s="4">
        <f t="shared" si="6"/>
        <v>6978</v>
      </c>
      <c r="F91" s="5">
        <f t="shared" si="5"/>
        <v>585</v>
      </c>
      <c r="H91" s="6">
        <f>min(F76:F97)</f>
        <v>8.69165214</v>
      </c>
      <c r="I91" s="6">
        <f>H91/H89</f>
        <v>0.01837366523</v>
      </c>
    </row>
    <row r="92" ht="22.5" customHeight="1">
      <c r="A92" s="2">
        <v>44.0</v>
      </c>
      <c r="B92" s="3" t="s">
        <v>11</v>
      </c>
      <c r="C92" s="2">
        <v>376.0</v>
      </c>
      <c r="D92" s="2">
        <v>800.0</v>
      </c>
      <c r="E92" s="4">
        <f t="shared" si="6"/>
        <v>7354</v>
      </c>
      <c r="F92" s="5">
        <f t="shared" si="5"/>
        <v>470</v>
      </c>
    </row>
    <row r="93" ht="22.5" customHeight="1">
      <c r="A93" s="2">
        <v>4.0</v>
      </c>
      <c r="B93" s="3" t="s">
        <v>12</v>
      </c>
      <c r="C93" s="2">
        <v>437.0</v>
      </c>
      <c r="D93" s="2">
        <v>1200.0</v>
      </c>
      <c r="E93" s="4">
        <f t="shared" si="6"/>
        <v>7791</v>
      </c>
      <c r="F93" s="5">
        <f t="shared" si="5"/>
        <v>364.1666667</v>
      </c>
    </row>
    <row r="94" ht="22.5" customHeight="1">
      <c r="A94" s="2">
        <v>32.0</v>
      </c>
      <c r="B94" s="3" t="s">
        <v>13</v>
      </c>
      <c r="C94" s="2">
        <v>376.0</v>
      </c>
      <c r="D94" s="2">
        <v>4000.0</v>
      </c>
      <c r="E94" s="4">
        <f t="shared" si="6"/>
        <v>8167</v>
      </c>
      <c r="F94" s="5">
        <f t="shared" si="5"/>
        <v>94</v>
      </c>
    </row>
    <row r="95" ht="22.5" customHeight="1">
      <c r="A95" s="2">
        <v>42.0</v>
      </c>
      <c r="B95" s="3" t="s">
        <v>14</v>
      </c>
      <c r="C95" s="2">
        <v>359.0</v>
      </c>
      <c r="D95" s="2">
        <v>41304.0</v>
      </c>
      <c r="E95" s="4">
        <f t="shared" si="6"/>
        <v>8526</v>
      </c>
      <c r="F95" s="5">
        <f t="shared" si="5"/>
        <v>8.69165214</v>
      </c>
    </row>
    <row r="96" ht="22.5" customHeight="1">
      <c r="A96" s="2">
        <v>17.0</v>
      </c>
      <c r="B96" s="3" t="s">
        <v>15</v>
      </c>
      <c r="C96" s="2">
        <v>404.0</v>
      </c>
      <c r="D96" s="2">
        <v>4600.0</v>
      </c>
      <c r="E96" s="4">
        <f t="shared" si="6"/>
        <v>8930</v>
      </c>
      <c r="F96" s="5">
        <f t="shared" si="5"/>
        <v>87.82608696</v>
      </c>
    </row>
    <row r="97" ht="22.5" customHeight="1">
      <c r="A97" s="2">
        <v>62.0</v>
      </c>
      <c r="B97" s="3" t="s">
        <v>16</v>
      </c>
      <c r="C97" s="2">
        <v>282.0</v>
      </c>
      <c r="D97" s="2">
        <v>900.0</v>
      </c>
      <c r="E97" s="4">
        <f t="shared" si="6"/>
        <v>9212</v>
      </c>
      <c r="F97" s="5">
        <f t="shared" si="5"/>
        <v>313.3333333</v>
      </c>
    </row>
    <row r="98" ht="22.5" customHeight="1">
      <c r="A98" s="8">
        <v>78.0</v>
      </c>
      <c r="B98" s="9" t="s">
        <v>6</v>
      </c>
      <c r="C98" s="8">
        <v>905.0</v>
      </c>
      <c r="D98" s="8">
        <v>2100.0</v>
      </c>
      <c r="E98" s="10">
        <f t="shared" si="6"/>
        <v>10117</v>
      </c>
      <c r="F98" s="11">
        <f t="shared" si="5"/>
        <v>430.952381</v>
      </c>
    </row>
    <row r="99" ht="22.5" customHeight="1">
      <c r="A99" s="8">
        <v>53.0</v>
      </c>
      <c r="B99" s="9" t="s">
        <v>7</v>
      </c>
      <c r="C99" s="8">
        <v>282.0</v>
      </c>
      <c r="D99" s="8">
        <v>701.0</v>
      </c>
      <c r="E99" s="10">
        <f t="shared" si="6"/>
        <v>10399</v>
      </c>
      <c r="F99" s="11">
        <f t="shared" si="5"/>
        <v>402.2824536</v>
      </c>
    </row>
    <row r="100" ht="22.5" customHeight="1">
      <c r="A100" s="8">
        <v>70.0</v>
      </c>
      <c r="B100" s="9" t="s">
        <v>8</v>
      </c>
      <c r="C100" s="8">
        <v>289.0</v>
      </c>
      <c r="D100" s="8">
        <v>400.0</v>
      </c>
      <c r="E100" s="10">
        <f t="shared" si="6"/>
        <v>10688</v>
      </c>
      <c r="F100" s="11">
        <f t="shared" si="5"/>
        <v>722.5</v>
      </c>
    </row>
    <row r="101" ht="22.5" customHeight="1">
      <c r="A101" s="8"/>
      <c r="B101" s="9"/>
      <c r="C101" s="8"/>
      <c r="D101" s="8"/>
      <c r="E101" s="11"/>
      <c r="F101" s="11"/>
    </row>
    <row r="102" ht="22.5" customHeight="1">
      <c r="A102" s="8"/>
      <c r="B102" s="9"/>
      <c r="C102" s="8"/>
      <c r="D102" s="8"/>
      <c r="E102" s="11"/>
      <c r="F102" s="11"/>
    </row>
    <row r="108">
      <c r="H108" s="12">
        <v>600.0</v>
      </c>
      <c r="I108" s="7">
        <f>H108</f>
        <v>600</v>
      </c>
      <c r="J108" s="6">
        <v>673.3333333333334</v>
      </c>
    </row>
    <row r="109">
      <c r="H109" s="12">
        <v>600.0</v>
      </c>
      <c r="I109" s="7">
        <f t="shared" ref="I109:I112" si="7">H109+I108</f>
        <v>1200</v>
      </c>
      <c r="J109" s="6">
        <v>585.0</v>
      </c>
      <c r="K109" s="6">
        <f t="shared" ref="K109:K112" si="8">(J109-J108)/(I109-I108)</f>
        <v>-0.1472222222</v>
      </c>
    </row>
    <row r="110">
      <c r="H110" s="12">
        <v>800.0</v>
      </c>
      <c r="I110" s="7">
        <f t="shared" si="7"/>
        <v>2000</v>
      </c>
      <c r="J110" s="6">
        <v>470.0</v>
      </c>
      <c r="K110" s="6">
        <f t="shared" si="8"/>
        <v>-0.14375</v>
      </c>
    </row>
    <row r="111">
      <c r="H111" s="12">
        <v>1200.0</v>
      </c>
      <c r="I111" s="7">
        <f t="shared" si="7"/>
        <v>3200</v>
      </c>
      <c r="J111" s="6">
        <v>364.1666666666667</v>
      </c>
      <c r="K111" s="6">
        <f t="shared" si="8"/>
        <v>-0.08819444444</v>
      </c>
    </row>
    <row r="112">
      <c r="H112" s="12">
        <v>4000.0</v>
      </c>
      <c r="I112" s="7">
        <f t="shared" si="7"/>
        <v>7200</v>
      </c>
      <c r="J112" s="6">
        <v>94.0</v>
      </c>
      <c r="K112" s="6">
        <f t="shared" si="8"/>
        <v>-0.06754166667</v>
      </c>
    </row>
    <row r="113">
      <c r="K113" s="6">
        <f>AVERAGE(K108:K112)</f>
        <v>-0.1116770833</v>
      </c>
    </row>
    <row r="124" ht="22.5" customHeight="1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5</v>
      </c>
      <c r="F124" s="1" t="s">
        <v>17</v>
      </c>
    </row>
    <row r="125" ht="22.5" customHeight="1">
      <c r="A125" s="2">
        <v>4.0</v>
      </c>
      <c r="B125" s="3" t="s">
        <v>12</v>
      </c>
      <c r="C125" s="2">
        <v>437.0</v>
      </c>
      <c r="D125" s="2">
        <v>1100.0</v>
      </c>
      <c r="E125" s="4">
        <f t="shared" ref="E125:E149" si="9">C125/D125*1000</f>
        <v>397.2727273</v>
      </c>
      <c r="F125" s="4">
        <f>D125</f>
        <v>1100</v>
      </c>
    </row>
    <row r="126" ht="22.5" customHeight="1">
      <c r="A126" s="2">
        <v>32.0</v>
      </c>
      <c r="B126" s="3" t="s">
        <v>13</v>
      </c>
      <c r="C126" s="2">
        <v>376.0</v>
      </c>
      <c r="D126" s="2">
        <v>1600.0</v>
      </c>
      <c r="E126" s="4">
        <f t="shared" si="9"/>
        <v>235</v>
      </c>
      <c r="F126" s="4">
        <f t="shared" ref="F126:F149" si="10">F125+D126</f>
        <v>2700</v>
      </c>
    </row>
    <row r="127" ht="22.5" customHeight="1">
      <c r="A127" s="2">
        <v>42.0</v>
      </c>
      <c r="B127" s="3" t="s">
        <v>14</v>
      </c>
      <c r="C127" s="2">
        <v>359.0</v>
      </c>
      <c r="D127" s="2">
        <v>74806.0</v>
      </c>
      <c r="E127" s="4">
        <f t="shared" si="9"/>
        <v>4.799080288</v>
      </c>
      <c r="F127" s="4">
        <f t="shared" si="10"/>
        <v>77506</v>
      </c>
    </row>
    <row r="128" ht="22.5" customHeight="1">
      <c r="A128" s="2">
        <v>17.0</v>
      </c>
      <c r="B128" s="3" t="s">
        <v>15</v>
      </c>
      <c r="C128" s="2">
        <v>404.0</v>
      </c>
      <c r="D128" s="2">
        <v>1400.0</v>
      </c>
      <c r="E128" s="4">
        <f t="shared" si="9"/>
        <v>288.5714286</v>
      </c>
      <c r="F128" s="4">
        <f t="shared" si="10"/>
        <v>78906</v>
      </c>
    </row>
    <row r="129" ht="22.5" customHeight="1">
      <c r="A129" s="2">
        <v>62.0</v>
      </c>
      <c r="B129" s="3" t="s">
        <v>16</v>
      </c>
      <c r="C129" s="2">
        <v>282.0</v>
      </c>
      <c r="D129" s="2">
        <v>700.0</v>
      </c>
      <c r="E129" s="4">
        <f t="shared" si="9"/>
        <v>402.8571429</v>
      </c>
      <c r="F129" s="4">
        <f t="shared" si="10"/>
        <v>79606</v>
      </c>
    </row>
    <row r="130" ht="22.5" customHeight="1">
      <c r="A130" s="2">
        <v>78.0</v>
      </c>
      <c r="B130" s="3" t="s">
        <v>6</v>
      </c>
      <c r="C130" s="2">
        <v>905.0</v>
      </c>
      <c r="D130" s="2">
        <v>2001.0</v>
      </c>
      <c r="E130" s="4">
        <f t="shared" si="9"/>
        <v>452.2738631</v>
      </c>
      <c r="F130" s="4">
        <f t="shared" si="10"/>
        <v>81607</v>
      </c>
    </row>
    <row r="131" ht="22.5" customHeight="1">
      <c r="A131" s="2">
        <v>53.0</v>
      </c>
      <c r="B131" s="3" t="s">
        <v>7</v>
      </c>
      <c r="C131" s="2">
        <v>282.0</v>
      </c>
      <c r="D131" s="2">
        <v>600.0</v>
      </c>
      <c r="E131" s="4">
        <f t="shared" si="9"/>
        <v>470</v>
      </c>
      <c r="F131" s="4">
        <f t="shared" si="10"/>
        <v>82207</v>
      </c>
    </row>
    <row r="132" ht="22.5" customHeight="1">
      <c r="A132" s="2">
        <v>70.0</v>
      </c>
      <c r="B132" s="3" t="s">
        <v>8</v>
      </c>
      <c r="C132" s="2">
        <v>289.0</v>
      </c>
      <c r="D132" s="2">
        <v>500.0</v>
      </c>
      <c r="E132" s="4">
        <f t="shared" si="9"/>
        <v>578</v>
      </c>
      <c r="F132" s="4">
        <f t="shared" si="10"/>
        <v>82707</v>
      </c>
    </row>
    <row r="133" ht="22.5" customHeight="1">
      <c r="A133" s="2">
        <v>52.0</v>
      </c>
      <c r="B133" s="3" t="s">
        <v>9</v>
      </c>
      <c r="C133" s="2">
        <v>404.0</v>
      </c>
      <c r="D133" s="2">
        <v>700.0</v>
      </c>
      <c r="E133" s="4">
        <f t="shared" si="9"/>
        <v>577.1428571</v>
      </c>
      <c r="F133" s="4">
        <f t="shared" si="10"/>
        <v>83407</v>
      </c>
    </row>
    <row r="134" ht="22.5" customHeight="1">
      <c r="A134" s="2">
        <v>22.0</v>
      </c>
      <c r="B134" s="3" t="s">
        <v>10</v>
      </c>
      <c r="C134" s="2">
        <v>351.0</v>
      </c>
      <c r="D134" s="2">
        <v>600.0</v>
      </c>
      <c r="E134" s="4">
        <f t="shared" si="9"/>
        <v>585</v>
      </c>
      <c r="F134" s="4">
        <f t="shared" si="10"/>
        <v>84007</v>
      </c>
    </row>
    <row r="135" ht="22.5" customHeight="1">
      <c r="A135" s="2">
        <v>44.0</v>
      </c>
      <c r="B135" s="3" t="s">
        <v>11</v>
      </c>
      <c r="C135" s="2">
        <v>376.0</v>
      </c>
      <c r="D135" s="2">
        <v>600.0</v>
      </c>
      <c r="E135" s="4">
        <f t="shared" si="9"/>
        <v>626.6666667</v>
      </c>
      <c r="F135" s="4">
        <f t="shared" si="10"/>
        <v>84607</v>
      </c>
    </row>
    <row r="136" ht="22.5" customHeight="1">
      <c r="A136" s="2">
        <v>4.0</v>
      </c>
      <c r="B136" s="3" t="s">
        <v>12</v>
      </c>
      <c r="C136" s="2">
        <v>437.0</v>
      </c>
      <c r="D136" s="2">
        <v>700.0</v>
      </c>
      <c r="E136" s="4">
        <f t="shared" si="9"/>
        <v>624.2857143</v>
      </c>
      <c r="F136" s="4">
        <f t="shared" si="10"/>
        <v>85307</v>
      </c>
    </row>
    <row r="137" ht="22.5" customHeight="1">
      <c r="A137" s="2">
        <v>32.0</v>
      </c>
      <c r="B137" s="3" t="s">
        <v>13</v>
      </c>
      <c r="C137" s="2">
        <v>376.0</v>
      </c>
      <c r="D137" s="2">
        <v>600.0</v>
      </c>
      <c r="E137" s="4">
        <f t="shared" si="9"/>
        <v>626.6666667</v>
      </c>
      <c r="F137" s="4">
        <f t="shared" si="10"/>
        <v>85907</v>
      </c>
    </row>
    <row r="138" ht="22.5" customHeight="1">
      <c r="A138" s="2">
        <v>42.0</v>
      </c>
      <c r="B138" s="3" t="s">
        <v>14</v>
      </c>
      <c r="C138" s="2">
        <v>359.0</v>
      </c>
      <c r="D138" s="2">
        <v>600.0</v>
      </c>
      <c r="E138" s="4">
        <f t="shared" si="9"/>
        <v>598.3333333</v>
      </c>
      <c r="F138" s="4">
        <f t="shared" si="10"/>
        <v>86507</v>
      </c>
    </row>
    <row r="139" ht="22.5" customHeight="1">
      <c r="A139" s="2">
        <v>17.0</v>
      </c>
      <c r="B139" s="3" t="s">
        <v>15</v>
      </c>
      <c r="C139" s="2">
        <v>404.0</v>
      </c>
      <c r="D139" s="2">
        <v>700.0</v>
      </c>
      <c r="E139" s="4">
        <f t="shared" si="9"/>
        <v>577.1428571</v>
      </c>
      <c r="F139" s="4">
        <f t="shared" si="10"/>
        <v>87207</v>
      </c>
    </row>
    <row r="140" ht="22.5" customHeight="1">
      <c r="A140" s="2">
        <v>62.0</v>
      </c>
      <c r="B140" s="3" t="s">
        <v>16</v>
      </c>
      <c r="C140" s="2">
        <v>282.0</v>
      </c>
      <c r="D140" s="2">
        <v>500.0</v>
      </c>
      <c r="E140" s="4">
        <f t="shared" si="9"/>
        <v>564</v>
      </c>
      <c r="F140" s="4">
        <f t="shared" si="10"/>
        <v>87707</v>
      </c>
    </row>
    <row r="141" ht="22.5" customHeight="1">
      <c r="A141" s="2">
        <v>78.0</v>
      </c>
      <c r="B141" s="3" t="s">
        <v>6</v>
      </c>
      <c r="C141" s="2">
        <v>905.0</v>
      </c>
      <c r="D141" s="2">
        <v>1600.0</v>
      </c>
      <c r="E141" s="4">
        <f t="shared" si="9"/>
        <v>565.625</v>
      </c>
      <c r="F141" s="4">
        <f t="shared" si="10"/>
        <v>89307</v>
      </c>
    </row>
    <row r="142" ht="22.5" customHeight="1">
      <c r="A142" s="2">
        <v>53.0</v>
      </c>
      <c r="B142" s="3" t="s">
        <v>7</v>
      </c>
      <c r="C142" s="2">
        <v>282.0</v>
      </c>
      <c r="D142" s="2">
        <v>700.0</v>
      </c>
      <c r="E142" s="4">
        <f t="shared" si="9"/>
        <v>402.8571429</v>
      </c>
      <c r="F142" s="4">
        <f t="shared" si="10"/>
        <v>90007</v>
      </c>
    </row>
    <row r="143" ht="22.5" customHeight="1">
      <c r="A143" s="2">
        <v>70.0</v>
      </c>
      <c r="B143" s="3" t="s">
        <v>8</v>
      </c>
      <c r="C143" s="2">
        <v>289.0</v>
      </c>
      <c r="D143" s="2">
        <v>400.0</v>
      </c>
      <c r="E143" s="4">
        <f t="shared" si="9"/>
        <v>722.5</v>
      </c>
      <c r="F143" s="4">
        <f t="shared" si="10"/>
        <v>90407</v>
      </c>
    </row>
    <row r="144" ht="22.5" customHeight="1">
      <c r="A144" s="2">
        <v>52.0</v>
      </c>
      <c r="B144" s="3" t="s">
        <v>9</v>
      </c>
      <c r="C144" s="2">
        <v>404.0</v>
      </c>
      <c r="D144" s="2">
        <v>800.0</v>
      </c>
      <c r="E144" s="4">
        <f t="shared" si="9"/>
        <v>505</v>
      </c>
      <c r="F144" s="4">
        <f t="shared" si="10"/>
        <v>91207</v>
      </c>
    </row>
    <row r="145" ht="22.5" customHeight="1">
      <c r="A145" s="2">
        <v>22.0</v>
      </c>
      <c r="B145" s="3" t="s">
        <v>10</v>
      </c>
      <c r="C145" s="2">
        <v>351.0</v>
      </c>
      <c r="D145" s="2">
        <v>900.0</v>
      </c>
      <c r="E145" s="4">
        <f t="shared" si="9"/>
        <v>390</v>
      </c>
      <c r="F145" s="4">
        <f t="shared" si="10"/>
        <v>92107</v>
      </c>
    </row>
    <row r="146" ht="22.5" customHeight="1">
      <c r="A146" s="2">
        <v>44.0</v>
      </c>
      <c r="B146" s="3" t="s">
        <v>11</v>
      </c>
      <c r="C146" s="2">
        <v>376.0</v>
      </c>
      <c r="D146" s="2">
        <v>1501.0</v>
      </c>
      <c r="E146" s="4">
        <f t="shared" si="9"/>
        <v>250.4996669</v>
      </c>
      <c r="F146" s="4">
        <f t="shared" si="10"/>
        <v>93608</v>
      </c>
    </row>
    <row r="147" ht="22.5" customHeight="1">
      <c r="A147" s="2">
        <v>4.0</v>
      </c>
      <c r="B147" s="3" t="s">
        <v>12</v>
      </c>
      <c r="C147" s="2">
        <v>437.0</v>
      </c>
      <c r="D147" s="2">
        <v>7400.0</v>
      </c>
      <c r="E147" s="4">
        <f t="shared" si="9"/>
        <v>59.05405405</v>
      </c>
      <c r="F147" s="4">
        <f t="shared" si="10"/>
        <v>101008</v>
      </c>
    </row>
    <row r="148" ht="22.5" customHeight="1">
      <c r="A148" s="2">
        <v>32.0</v>
      </c>
      <c r="B148" s="3" t="s">
        <v>7</v>
      </c>
      <c r="C148" s="2">
        <v>2608.0</v>
      </c>
      <c r="D148" s="2">
        <v>6001.0</v>
      </c>
      <c r="E148" s="4">
        <f t="shared" si="9"/>
        <v>434.5942343</v>
      </c>
      <c r="F148" s="4">
        <f t="shared" si="10"/>
        <v>107009</v>
      </c>
    </row>
    <row r="149" ht="22.5" customHeight="1">
      <c r="A149" s="2">
        <v>70.0</v>
      </c>
      <c r="B149" s="3" t="s">
        <v>8</v>
      </c>
      <c r="C149" s="2">
        <v>289.0</v>
      </c>
      <c r="D149" s="2">
        <v>1200.0</v>
      </c>
      <c r="E149" s="4">
        <f t="shared" si="9"/>
        <v>240.8333333</v>
      </c>
      <c r="F149" s="4">
        <f t="shared" si="10"/>
        <v>108209</v>
      </c>
    </row>
    <row r="166" ht="22.5" customHeight="1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5</v>
      </c>
      <c r="F166" s="1" t="s">
        <v>18</v>
      </c>
    </row>
    <row r="167" ht="22.5" customHeight="1">
      <c r="A167" s="2">
        <v>62.0</v>
      </c>
      <c r="B167" s="13" t="s">
        <v>16</v>
      </c>
      <c r="C167" s="2">
        <v>282.0</v>
      </c>
      <c r="D167" s="2">
        <v>650.0</v>
      </c>
      <c r="E167" s="2">
        <v>433.0</v>
      </c>
      <c r="F167" s="2">
        <v>0.0</v>
      </c>
    </row>
    <row r="168" ht="22.5" customHeight="1">
      <c r="A168" s="2">
        <v>78.0</v>
      </c>
      <c r="B168" s="13" t="s">
        <v>6</v>
      </c>
      <c r="C168" s="2">
        <v>905.0</v>
      </c>
      <c r="D168" s="2">
        <v>5211.0</v>
      </c>
      <c r="E168" s="2">
        <v>173.0</v>
      </c>
      <c r="F168" s="2">
        <v>650.0</v>
      </c>
    </row>
    <row r="169" ht="22.5" customHeight="1">
      <c r="A169" s="2">
        <v>53.0</v>
      </c>
      <c r="B169" s="13" t="s">
        <v>7</v>
      </c>
      <c r="C169" s="2">
        <v>282.0</v>
      </c>
      <c r="D169" s="2">
        <v>1220.0</v>
      </c>
      <c r="E169" s="2">
        <v>231.0</v>
      </c>
      <c r="F169" s="2">
        <v>5861.0</v>
      </c>
    </row>
    <row r="170" ht="22.5" customHeight="1">
      <c r="A170" s="2">
        <v>70.0</v>
      </c>
      <c r="B170" s="13" t="s">
        <v>8</v>
      </c>
      <c r="C170" s="2">
        <v>289.0</v>
      </c>
      <c r="D170" s="2">
        <v>730.0</v>
      </c>
      <c r="E170" s="2">
        <v>395.0</v>
      </c>
      <c r="F170" s="2">
        <v>7081.0</v>
      </c>
    </row>
    <row r="171" ht="22.5" customHeight="1">
      <c r="A171" s="2">
        <v>52.0</v>
      </c>
      <c r="B171" s="13" t="s">
        <v>9</v>
      </c>
      <c r="C171" s="2">
        <v>404.0</v>
      </c>
      <c r="D171" s="2">
        <v>830.0</v>
      </c>
      <c r="E171" s="2">
        <v>486.0</v>
      </c>
      <c r="F171" s="2">
        <v>7811.0</v>
      </c>
    </row>
    <row r="172" ht="22.5" customHeight="1">
      <c r="A172" s="2">
        <v>22.0</v>
      </c>
      <c r="B172" s="13" t="s">
        <v>10</v>
      </c>
      <c r="C172" s="2">
        <v>351.0</v>
      </c>
      <c r="D172" s="2">
        <v>630.0</v>
      </c>
      <c r="E172" s="2">
        <v>557.0</v>
      </c>
      <c r="F172" s="2">
        <v>8641.0</v>
      </c>
    </row>
    <row r="173" ht="22.5" customHeight="1">
      <c r="A173" s="2">
        <v>44.0</v>
      </c>
      <c r="B173" s="13" t="s">
        <v>11</v>
      </c>
      <c r="C173" s="2">
        <v>376.0</v>
      </c>
      <c r="D173" s="2">
        <v>630.0</v>
      </c>
      <c r="E173" s="2">
        <v>596.0</v>
      </c>
      <c r="F173" s="2">
        <v>9271.0</v>
      </c>
    </row>
    <row r="174" ht="22.5" customHeight="1">
      <c r="A174" s="2">
        <v>4.0</v>
      </c>
      <c r="B174" s="13" t="s">
        <v>12</v>
      </c>
      <c r="C174" s="2">
        <v>437.0</v>
      </c>
      <c r="D174" s="2">
        <v>740.0</v>
      </c>
      <c r="E174" s="2">
        <v>590.0</v>
      </c>
      <c r="F174" s="2">
        <v>9901.0</v>
      </c>
    </row>
    <row r="175" ht="22.5" customHeight="1">
      <c r="A175" s="2">
        <v>32.0</v>
      </c>
      <c r="B175" s="13" t="s">
        <v>13</v>
      </c>
      <c r="C175" s="2">
        <v>376.0</v>
      </c>
      <c r="D175" s="2">
        <v>650.0</v>
      </c>
      <c r="E175" s="2">
        <v>578.0</v>
      </c>
      <c r="F175" s="2">
        <v>10641.0</v>
      </c>
    </row>
    <row r="176" ht="22.5" customHeight="1">
      <c r="A176" s="2">
        <v>42.0</v>
      </c>
      <c r="B176" s="13" t="s">
        <v>14</v>
      </c>
      <c r="C176" s="2">
        <v>359.0</v>
      </c>
      <c r="D176" s="2">
        <v>610.0</v>
      </c>
      <c r="E176" s="2">
        <v>588.0</v>
      </c>
      <c r="F176" s="2">
        <v>11291.0</v>
      </c>
    </row>
    <row r="177" ht="22.5" customHeight="1">
      <c r="A177" s="2">
        <v>17.0</v>
      </c>
      <c r="B177" s="13" t="s">
        <v>15</v>
      </c>
      <c r="C177" s="2">
        <v>404.0</v>
      </c>
      <c r="D177" s="2">
        <v>660.0</v>
      </c>
      <c r="E177" s="2">
        <v>612.0</v>
      </c>
      <c r="F177" s="2">
        <v>11901.0</v>
      </c>
    </row>
    <row r="178" ht="22.5" customHeight="1">
      <c r="A178" s="2">
        <v>62.0</v>
      </c>
      <c r="B178" s="13" t="s">
        <v>16</v>
      </c>
      <c r="C178" s="2">
        <v>282.0</v>
      </c>
      <c r="D178" s="2">
        <v>460.0</v>
      </c>
      <c r="E178" s="2">
        <v>613.0</v>
      </c>
      <c r="F178" s="2">
        <v>12561.0</v>
      </c>
    </row>
    <row r="179" ht="22.5" customHeight="1">
      <c r="A179" s="2">
        <v>78.0</v>
      </c>
      <c r="B179" s="13" t="s">
        <v>6</v>
      </c>
      <c r="C179" s="2">
        <v>905.0</v>
      </c>
      <c r="D179" s="2">
        <v>1691.0</v>
      </c>
      <c r="E179" s="2">
        <v>535.0</v>
      </c>
      <c r="F179" s="2">
        <v>13021.0</v>
      </c>
    </row>
    <row r="180" ht="22.5" customHeight="1">
      <c r="A180" s="2">
        <v>53.0</v>
      </c>
      <c r="B180" s="13" t="s">
        <v>7</v>
      </c>
      <c r="C180" s="2">
        <v>282.0</v>
      </c>
      <c r="D180" s="2">
        <v>610.0</v>
      </c>
      <c r="E180" s="2">
        <v>462.0</v>
      </c>
      <c r="F180" s="2">
        <v>14712.0</v>
      </c>
    </row>
    <row r="181" ht="22.5" customHeight="1">
      <c r="A181" s="2">
        <v>70.0</v>
      </c>
      <c r="B181" s="13" t="s">
        <v>8</v>
      </c>
      <c r="C181" s="2">
        <v>289.0</v>
      </c>
      <c r="D181" s="2">
        <v>480.0</v>
      </c>
      <c r="E181" s="2">
        <v>602.0</v>
      </c>
      <c r="F181" s="2">
        <v>15322.0</v>
      </c>
    </row>
    <row r="182" ht="22.5" customHeight="1">
      <c r="A182" s="2">
        <v>52.0</v>
      </c>
      <c r="B182" s="13" t="s">
        <v>9</v>
      </c>
      <c r="C182" s="2">
        <v>404.0</v>
      </c>
      <c r="D182" s="2">
        <v>660.0</v>
      </c>
      <c r="E182" s="2">
        <v>612.0</v>
      </c>
      <c r="F182" s="2">
        <v>15802.0</v>
      </c>
    </row>
    <row r="183" ht="22.5" customHeight="1">
      <c r="A183" s="2">
        <v>22.0</v>
      </c>
      <c r="B183" s="13" t="s">
        <v>10</v>
      </c>
      <c r="C183" s="2">
        <v>351.0</v>
      </c>
      <c r="D183" s="2">
        <v>600.0</v>
      </c>
      <c r="E183" s="2">
        <v>585.0</v>
      </c>
      <c r="F183" s="2">
        <v>16462.0</v>
      </c>
    </row>
    <row r="184" ht="22.5" customHeight="1">
      <c r="A184" s="2">
        <v>44.0</v>
      </c>
      <c r="B184" s="13" t="s">
        <v>11</v>
      </c>
      <c r="C184" s="2">
        <v>376.0</v>
      </c>
      <c r="D184" s="2">
        <v>610.0</v>
      </c>
      <c r="E184" s="2">
        <v>616.0</v>
      </c>
      <c r="F184" s="2">
        <v>17062.0</v>
      </c>
    </row>
    <row r="185" ht="22.5" customHeight="1">
      <c r="A185" s="2">
        <v>4.0</v>
      </c>
      <c r="B185" s="13" t="s">
        <v>12</v>
      </c>
      <c r="C185" s="2">
        <v>437.0</v>
      </c>
      <c r="D185" s="2">
        <v>730.0</v>
      </c>
      <c r="E185" s="2">
        <v>598.0</v>
      </c>
      <c r="F185" s="2">
        <v>17672.0</v>
      </c>
    </row>
    <row r="186" ht="22.5" customHeight="1">
      <c r="A186" s="2">
        <v>32.0</v>
      </c>
      <c r="B186" s="13" t="s">
        <v>13</v>
      </c>
      <c r="C186" s="2">
        <v>376.0</v>
      </c>
      <c r="D186" s="2">
        <v>630.0</v>
      </c>
      <c r="E186" s="2">
        <v>596.0</v>
      </c>
      <c r="F186" s="2">
        <v>18402.0</v>
      </c>
    </row>
    <row r="187" ht="22.5" customHeight="1">
      <c r="A187" s="2">
        <v>42.0</v>
      </c>
      <c r="B187" s="13" t="s">
        <v>14</v>
      </c>
      <c r="C187" s="2">
        <v>359.0</v>
      </c>
      <c r="D187" s="2">
        <v>590.0</v>
      </c>
      <c r="E187" s="2">
        <v>608.0</v>
      </c>
      <c r="F187" s="2">
        <v>19032.0</v>
      </c>
    </row>
    <row r="188" ht="22.5" customHeight="1">
      <c r="A188" s="2">
        <v>17.0</v>
      </c>
      <c r="B188" s="13" t="s">
        <v>15</v>
      </c>
      <c r="C188" s="2">
        <v>404.0</v>
      </c>
      <c r="D188" s="2">
        <v>660.0</v>
      </c>
      <c r="E188" s="2">
        <v>612.0</v>
      </c>
      <c r="F188" s="2">
        <v>19622.0</v>
      </c>
    </row>
    <row r="189" ht="22.5" customHeight="1">
      <c r="A189" s="2">
        <v>62.0</v>
      </c>
      <c r="B189" s="13" t="s">
        <v>16</v>
      </c>
      <c r="C189" s="2">
        <v>282.0</v>
      </c>
      <c r="D189" s="2">
        <v>480.0</v>
      </c>
      <c r="E189" s="2">
        <v>587.0</v>
      </c>
      <c r="F189" s="2">
        <v>20282.0</v>
      </c>
    </row>
    <row r="190" ht="22.5" customHeight="1">
      <c r="A190" s="2">
        <v>78.0</v>
      </c>
      <c r="B190" s="13" t="s">
        <v>6</v>
      </c>
      <c r="C190" s="2">
        <v>905.0</v>
      </c>
      <c r="D190" s="2">
        <v>1670.0</v>
      </c>
      <c r="E190" s="2">
        <v>541.0</v>
      </c>
      <c r="F190" s="2">
        <v>20762.0</v>
      </c>
    </row>
    <row r="191" ht="22.5" customHeight="1">
      <c r="A191" s="2">
        <v>53.0</v>
      </c>
      <c r="B191" s="13" t="s">
        <v>7</v>
      </c>
      <c r="C191" s="2">
        <v>282.0</v>
      </c>
      <c r="D191" s="2">
        <v>610.0</v>
      </c>
      <c r="E191" s="2">
        <v>462.0</v>
      </c>
      <c r="F191" s="2">
        <v>22432.0</v>
      </c>
    </row>
    <row r="192" ht="22.5" customHeight="1">
      <c r="A192" s="2">
        <v>70.0</v>
      </c>
      <c r="B192" s="13" t="s">
        <v>8</v>
      </c>
      <c r="C192" s="2">
        <v>289.0</v>
      </c>
      <c r="D192" s="2">
        <v>480.0</v>
      </c>
      <c r="E192" s="2">
        <v>602.0</v>
      </c>
      <c r="F192" s="2">
        <v>23042.0</v>
      </c>
    </row>
    <row r="193" ht="22.5" customHeight="1">
      <c r="A193" s="2">
        <v>52.0</v>
      </c>
      <c r="B193" s="13" t="s">
        <v>9</v>
      </c>
      <c r="C193" s="2">
        <v>404.0</v>
      </c>
      <c r="D193" s="2">
        <v>670.0</v>
      </c>
      <c r="E193" s="2">
        <v>602.0</v>
      </c>
      <c r="F193" s="2">
        <v>23522.0</v>
      </c>
      <c r="L193" s="14">
        <v>2.0</v>
      </c>
    </row>
    <row r="194" ht="22.5" customHeight="1">
      <c r="A194" s="2">
        <v>22.0</v>
      </c>
      <c r="B194" s="13" t="s">
        <v>10</v>
      </c>
      <c r="C194" s="2">
        <v>351.0</v>
      </c>
      <c r="D194" s="2">
        <v>580.0</v>
      </c>
      <c r="E194" s="2">
        <v>605.0</v>
      </c>
      <c r="F194" s="2">
        <v>24192.0</v>
      </c>
    </row>
    <row r="195" ht="22.5" customHeight="1">
      <c r="A195" s="2">
        <v>44.0</v>
      </c>
      <c r="B195" s="13" t="s">
        <v>11</v>
      </c>
      <c r="C195" s="2">
        <v>376.0</v>
      </c>
      <c r="D195" s="2">
        <v>610.0</v>
      </c>
      <c r="E195" s="2">
        <v>616.0</v>
      </c>
      <c r="F195" s="2">
        <v>24772.0</v>
      </c>
    </row>
    <row r="196" ht="22.5" customHeight="1">
      <c r="A196" s="2">
        <v>4.0</v>
      </c>
      <c r="B196" s="13" t="s">
        <v>12</v>
      </c>
      <c r="C196" s="2">
        <v>437.0</v>
      </c>
      <c r="D196" s="2">
        <v>730.0</v>
      </c>
      <c r="E196" s="2">
        <v>598.0</v>
      </c>
      <c r="F196" s="2">
        <v>25382.0</v>
      </c>
    </row>
    <row r="197" ht="22.5" customHeight="1">
      <c r="A197" s="2">
        <v>32.0</v>
      </c>
      <c r="B197" s="13" t="s">
        <v>13</v>
      </c>
      <c r="C197" s="2">
        <v>376.0</v>
      </c>
      <c r="D197" s="2">
        <v>620.0</v>
      </c>
      <c r="E197" s="2">
        <v>606.0</v>
      </c>
      <c r="F197" s="2">
        <v>26112.0</v>
      </c>
    </row>
    <row r="198" ht="22.5" customHeight="1">
      <c r="A198" s="2">
        <v>42.0</v>
      </c>
      <c r="B198" s="13" t="s">
        <v>14</v>
      </c>
      <c r="C198" s="2">
        <v>359.0</v>
      </c>
      <c r="D198" s="2">
        <v>601.0</v>
      </c>
      <c r="E198" s="2">
        <v>597.0</v>
      </c>
      <c r="F198" s="2">
        <v>26732.0</v>
      </c>
    </row>
    <row r="199" ht="22.5" customHeight="1">
      <c r="A199" s="2">
        <v>17.0</v>
      </c>
      <c r="B199" s="13" t="s">
        <v>15</v>
      </c>
      <c r="C199" s="2">
        <v>404.0</v>
      </c>
      <c r="D199" s="2">
        <v>660.0</v>
      </c>
      <c r="E199" s="2">
        <v>612.0</v>
      </c>
      <c r="F199" s="2">
        <v>27333.0</v>
      </c>
      <c r="H199" s="7">
        <f>AVERAGE(E182:E203)</f>
        <v>584.1363636</v>
      </c>
    </row>
    <row r="200" ht="22.5" customHeight="1">
      <c r="A200" s="2">
        <v>62.0</v>
      </c>
      <c r="B200" s="13" t="s">
        <v>16</v>
      </c>
      <c r="C200" s="2">
        <v>282.0</v>
      </c>
      <c r="D200" s="2">
        <v>480.0</v>
      </c>
      <c r="E200" s="2">
        <v>587.0</v>
      </c>
      <c r="F200" s="2">
        <v>27993.0</v>
      </c>
      <c r="H200" s="7">
        <f>MIN(E182:E203)</f>
        <v>462</v>
      </c>
      <c r="I200" s="6">
        <f>H200/H199</f>
        <v>0.7909112131</v>
      </c>
    </row>
    <row r="201" ht="22.5" customHeight="1">
      <c r="A201" s="2">
        <v>78.0</v>
      </c>
      <c r="B201" s="13" t="s">
        <v>6</v>
      </c>
      <c r="C201" s="2">
        <v>905.0</v>
      </c>
      <c r="D201" s="2">
        <v>1660.0</v>
      </c>
      <c r="E201" s="2">
        <v>545.0</v>
      </c>
      <c r="F201" s="2">
        <v>28473.0</v>
      </c>
      <c r="H201" s="7">
        <f>MAX(E182:E203)</f>
        <v>616</v>
      </c>
      <c r="I201" s="6">
        <f>H201/H199</f>
        <v>1.054548284</v>
      </c>
    </row>
    <row r="202" ht="22.5" customHeight="1">
      <c r="A202" s="2">
        <v>53.0</v>
      </c>
      <c r="B202" s="13" t="s">
        <v>7</v>
      </c>
      <c r="C202" s="2">
        <v>282.0</v>
      </c>
      <c r="D202" s="2">
        <v>610.0</v>
      </c>
      <c r="E202" s="2">
        <v>462.0</v>
      </c>
      <c r="F202" s="2">
        <v>30133.0</v>
      </c>
    </row>
    <row r="203" ht="22.5" customHeight="1">
      <c r="A203" s="2">
        <v>70.0</v>
      </c>
      <c r="B203" s="13" t="s">
        <v>8</v>
      </c>
      <c r="C203" s="2">
        <v>289.0</v>
      </c>
      <c r="D203" s="2">
        <v>480.0</v>
      </c>
      <c r="E203" s="2">
        <v>602.0</v>
      </c>
      <c r="F203" s="2">
        <v>30743.0</v>
      </c>
    </row>
    <row r="213">
      <c r="A213" s="14" t="s">
        <v>0</v>
      </c>
      <c r="B213" s="14" t="s">
        <v>1</v>
      </c>
      <c r="C213" s="14" t="s">
        <v>2</v>
      </c>
      <c r="D213" s="14" t="s">
        <v>3</v>
      </c>
      <c r="E213" s="14" t="s">
        <v>5</v>
      </c>
    </row>
    <row r="214">
      <c r="A214" s="14">
        <v>70.0</v>
      </c>
      <c r="B214" s="14">
        <v>52.0</v>
      </c>
      <c r="C214" s="14">
        <v>289.0</v>
      </c>
      <c r="D214" s="14">
        <v>8801.0</v>
      </c>
      <c r="E214" s="6">
        <f t="shared" ref="E214:E235" si="11">C214/D214*1000</f>
        <v>32.83717759</v>
      </c>
    </row>
    <row r="215">
      <c r="A215" s="14">
        <v>53.0</v>
      </c>
      <c r="B215" s="14">
        <v>70.0</v>
      </c>
      <c r="C215" s="14">
        <v>282.0</v>
      </c>
      <c r="D215" s="14">
        <v>11331.0</v>
      </c>
      <c r="E215" s="6">
        <f t="shared" si="11"/>
        <v>24.88747683</v>
      </c>
    </row>
    <row r="216">
      <c r="A216" s="14">
        <v>78.0</v>
      </c>
      <c r="B216" s="14">
        <v>53.0</v>
      </c>
      <c r="C216" s="14">
        <v>905.0</v>
      </c>
      <c r="D216" s="14">
        <v>30362.0</v>
      </c>
      <c r="E216" s="6">
        <f t="shared" si="11"/>
        <v>29.80699559</v>
      </c>
    </row>
    <row r="217">
      <c r="A217" s="14">
        <v>62.0</v>
      </c>
      <c r="B217" s="14">
        <v>78.0</v>
      </c>
      <c r="C217" s="14">
        <v>282.0</v>
      </c>
      <c r="D217" s="14">
        <v>8551.0</v>
      </c>
      <c r="E217" s="6">
        <f t="shared" si="11"/>
        <v>32.97859899</v>
      </c>
    </row>
    <row r="218">
      <c r="A218" s="14">
        <v>17.0</v>
      </c>
      <c r="B218" s="14">
        <v>62.0</v>
      </c>
      <c r="C218" s="14">
        <v>404.0</v>
      </c>
      <c r="D218" s="14">
        <v>12161.0</v>
      </c>
      <c r="E218" s="6">
        <f t="shared" si="11"/>
        <v>33.22095222</v>
      </c>
    </row>
    <row r="219">
      <c r="A219" s="14">
        <v>42.0</v>
      </c>
      <c r="B219" s="14">
        <v>17.0</v>
      </c>
      <c r="C219" s="14">
        <v>359.0</v>
      </c>
      <c r="D219" s="14">
        <v>11101.0</v>
      </c>
      <c r="E219" s="6">
        <f t="shared" si="11"/>
        <v>32.33942888</v>
      </c>
    </row>
    <row r="220">
      <c r="A220" s="14">
        <v>32.0</v>
      </c>
      <c r="B220" s="14">
        <v>42.0</v>
      </c>
      <c r="C220" s="14">
        <v>376.0</v>
      </c>
      <c r="D220" s="14">
        <v>11411.0</v>
      </c>
      <c r="E220" s="6">
        <f t="shared" si="11"/>
        <v>32.95066164</v>
      </c>
    </row>
    <row r="221">
      <c r="A221" s="14">
        <v>4.0</v>
      </c>
      <c r="B221" s="14">
        <v>32.0</v>
      </c>
      <c r="C221" s="14">
        <v>437.0</v>
      </c>
      <c r="D221" s="14">
        <v>13271.0</v>
      </c>
      <c r="E221" s="6">
        <f t="shared" si="11"/>
        <v>32.92894281</v>
      </c>
      <c r="K221" s="14">
        <v>150.0</v>
      </c>
    </row>
    <row r="222">
      <c r="A222" s="14">
        <v>44.0</v>
      </c>
      <c r="B222" s="14">
        <v>4.0</v>
      </c>
      <c r="C222" s="14">
        <v>376.0</v>
      </c>
      <c r="D222" s="14">
        <v>11271.0</v>
      </c>
      <c r="E222" s="6">
        <f t="shared" si="11"/>
        <v>33.35995031</v>
      </c>
    </row>
    <row r="223">
      <c r="A223" s="14">
        <v>22.0</v>
      </c>
      <c r="B223" s="14">
        <v>44.0</v>
      </c>
      <c r="C223" s="14">
        <v>351.0</v>
      </c>
      <c r="D223" s="14">
        <v>10711.0</v>
      </c>
      <c r="E223" s="6">
        <f t="shared" si="11"/>
        <v>32.77004948</v>
      </c>
    </row>
    <row r="224">
      <c r="A224" s="14">
        <v>52.0</v>
      </c>
      <c r="B224" s="14">
        <v>22.0</v>
      </c>
      <c r="C224" s="14">
        <v>404.0</v>
      </c>
      <c r="D224" s="14">
        <v>12161.0</v>
      </c>
      <c r="E224" s="6">
        <f t="shared" si="11"/>
        <v>33.22095222</v>
      </c>
    </row>
    <row r="225">
      <c r="A225" s="14">
        <v>70.0</v>
      </c>
      <c r="B225" s="14">
        <v>52.0</v>
      </c>
      <c r="C225" s="14">
        <v>289.0</v>
      </c>
      <c r="D225" s="14">
        <v>8781.0</v>
      </c>
      <c r="E225" s="6">
        <f t="shared" si="11"/>
        <v>32.91196902</v>
      </c>
    </row>
    <row r="226">
      <c r="A226" s="14">
        <v>53.0</v>
      </c>
      <c r="B226" s="14">
        <v>70.0</v>
      </c>
      <c r="C226" s="14">
        <v>282.0</v>
      </c>
      <c r="D226" s="14">
        <v>11341.0</v>
      </c>
      <c r="E226" s="6">
        <f t="shared" si="11"/>
        <v>24.86553214</v>
      </c>
    </row>
    <row r="227">
      <c r="A227" s="14">
        <v>78.0</v>
      </c>
      <c r="B227" s="14">
        <v>53.0</v>
      </c>
      <c r="C227" s="14">
        <v>905.0</v>
      </c>
      <c r="D227" s="14">
        <v>30332.0</v>
      </c>
      <c r="E227" s="6">
        <f t="shared" si="11"/>
        <v>29.83647633</v>
      </c>
    </row>
    <row r="228">
      <c r="A228" s="14">
        <v>62.0</v>
      </c>
      <c r="B228" s="14">
        <v>78.0</v>
      </c>
      <c r="C228" s="14">
        <v>282.0</v>
      </c>
      <c r="D228" s="14">
        <v>8551.0</v>
      </c>
      <c r="E228" s="6">
        <f t="shared" si="11"/>
        <v>32.97859899</v>
      </c>
    </row>
    <row r="229">
      <c r="A229" s="14">
        <v>17.0</v>
      </c>
      <c r="B229" s="14">
        <v>62.0</v>
      </c>
      <c r="C229" s="14">
        <v>404.0</v>
      </c>
      <c r="D229" s="14">
        <v>12191.0</v>
      </c>
      <c r="E229" s="6">
        <f t="shared" si="11"/>
        <v>33.13920105</v>
      </c>
      <c r="G229" s="6">
        <f>min(E214:E235)</f>
        <v>24.86553214</v>
      </c>
      <c r="H229" s="6">
        <f>G229/G231</f>
        <v>0.7782533192</v>
      </c>
    </row>
    <row r="230">
      <c r="A230" s="14">
        <v>42.0</v>
      </c>
      <c r="B230" s="14">
        <v>17.0</v>
      </c>
      <c r="C230" s="14">
        <v>359.0</v>
      </c>
      <c r="D230" s="14">
        <v>11081.0</v>
      </c>
      <c r="E230" s="6">
        <f t="shared" si="11"/>
        <v>32.39779803</v>
      </c>
      <c r="G230" s="6">
        <f>MAX(E214:E235)</f>
        <v>33.38957464</v>
      </c>
      <c r="H230" s="6">
        <f>G230/G231</f>
        <v>1.045042879</v>
      </c>
    </row>
    <row r="231">
      <c r="A231" s="14">
        <v>32.0</v>
      </c>
      <c r="B231" s="14">
        <v>42.0</v>
      </c>
      <c r="C231" s="14">
        <v>376.0</v>
      </c>
      <c r="D231" s="14">
        <v>11431.0</v>
      </c>
      <c r="E231" s="6">
        <f t="shared" si="11"/>
        <v>32.89301024</v>
      </c>
      <c r="G231" s="6">
        <f>AVERAGE(E214:E235)</f>
        <v>31.95043507</v>
      </c>
    </row>
    <row r="232">
      <c r="A232" s="14">
        <v>4.0</v>
      </c>
      <c r="B232" s="14">
        <v>32.0</v>
      </c>
      <c r="C232" s="14">
        <v>437.0</v>
      </c>
      <c r="D232" s="14">
        <v>13241.0</v>
      </c>
      <c r="E232" s="6">
        <f t="shared" si="11"/>
        <v>33.00354958</v>
      </c>
    </row>
    <row r="233">
      <c r="A233" s="14">
        <v>44.0</v>
      </c>
      <c r="B233" s="14">
        <v>4.0</v>
      </c>
      <c r="C233" s="14">
        <v>376.0</v>
      </c>
      <c r="D233" s="14">
        <v>11261.0</v>
      </c>
      <c r="E233" s="6">
        <f t="shared" si="11"/>
        <v>33.38957464</v>
      </c>
    </row>
    <row r="234">
      <c r="A234" s="14">
        <v>22.0</v>
      </c>
      <c r="B234" s="14">
        <v>44.0</v>
      </c>
      <c r="C234" s="14">
        <v>351.0</v>
      </c>
      <c r="D234" s="14">
        <v>10681.0</v>
      </c>
      <c r="E234" s="6">
        <f t="shared" si="11"/>
        <v>32.86209156</v>
      </c>
    </row>
    <row r="235">
      <c r="A235" s="14">
        <v>52.0</v>
      </c>
      <c r="B235" s="14">
        <v>22.0</v>
      </c>
      <c r="C235" s="14">
        <v>404.0</v>
      </c>
      <c r="D235" s="14">
        <v>12121.0</v>
      </c>
      <c r="E235" s="6">
        <f t="shared" si="11"/>
        <v>33.33058329</v>
      </c>
    </row>
    <row r="244">
      <c r="D244" s="14" t="s">
        <v>19</v>
      </c>
      <c r="E244" s="14">
        <v>1.0</v>
      </c>
    </row>
    <row r="246" ht="22.5" customHeight="1">
      <c r="B246" s="1" t="s">
        <v>20</v>
      </c>
      <c r="C246" s="1" t="s">
        <v>21</v>
      </c>
      <c r="D246" s="1" t="s">
        <v>22</v>
      </c>
      <c r="E246" s="1" t="s">
        <v>23</v>
      </c>
      <c r="F246" s="15" t="s">
        <v>24</v>
      </c>
    </row>
    <row r="247" ht="22.5" customHeight="1">
      <c r="B247" s="2">
        <v>14.0</v>
      </c>
      <c r="C247" s="2">
        <v>584.0</v>
      </c>
      <c r="D247" s="4">
        <f t="shared" ref="D247:D261" si="12">C247*$E$244</f>
        <v>584</v>
      </c>
      <c r="E247" s="2">
        <v>1550.0</v>
      </c>
      <c r="F247" s="16">
        <f t="shared" ref="F247:F260" si="13">-D247^2/(2*E247)</f>
        <v>110.0180645</v>
      </c>
    </row>
    <row r="248" ht="22.5" customHeight="1">
      <c r="B248" s="2">
        <v>13.0</v>
      </c>
      <c r="C248" s="2">
        <v>512.0</v>
      </c>
      <c r="D248" s="4">
        <f t="shared" si="12"/>
        <v>512</v>
      </c>
      <c r="E248" s="2">
        <v>1230.0</v>
      </c>
      <c r="F248" s="16">
        <f t="shared" si="13"/>
        <v>106.5626016</v>
      </c>
    </row>
    <row r="249" ht="22.5" customHeight="1">
      <c r="B249" s="2">
        <v>12.0</v>
      </c>
      <c r="C249" s="2">
        <v>450.0</v>
      </c>
      <c r="D249" s="4">
        <f t="shared" si="12"/>
        <v>450</v>
      </c>
      <c r="E249" s="2">
        <v>980.0</v>
      </c>
      <c r="F249" s="16">
        <f t="shared" si="13"/>
        <v>103.3163265</v>
      </c>
    </row>
    <row r="250" ht="22.5" customHeight="1">
      <c r="B250" s="2">
        <v>11.0</v>
      </c>
      <c r="C250" s="2">
        <v>389.0</v>
      </c>
      <c r="D250" s="4">
        <f t="shared" si="12"/>
        <v>389</v>
      </c>
      <c r="E250" s="2">
        <v>760.0</v>
      </c>
      <c r="F250" s="16">
        <f t="shared" si="13"/>
        <v>99.55328947</v>
      </c>
    </row>
    <row r="251" ht="22.5" customHeight="1">
      <c r="B251" s="2">
        <v>10.0</v>
      </c>
      <c r="C251" s="2">
        <v>328.0</v>
      </c>
      <c r="D251" s="4">
        <f t="shared" si="12"/>
        <v>328</v>
      </c>
      <c r="E251" s="2">
        <v>570.0</v>
      </c>
      <c r="F251" s="16">
        <f t="shared" si="13"/>
        <v>94.37192982</v>
      </c>
    </row>
    <row r="252" ht="22.5" customHeight="1">
      <c r="B252" s="2">
        <v>9.0</v>
      </c>
      <c r="C252" s="2">
        <v>273.0</v>
      </c>
      <c r="D252" s="4">
        <f t="shared" si="12"/>
        <v>273</v>
      </c>
      <c r="E252" s="2">
        <v>450.0</v>
      </c>
      <c r="F252" s="16">
        <f t="shared" si="13"/>
        <v>82.81</v>
      </c>
    </row>
    <row r="253" ht="22.5" customHeight="1">
      <c r="B253" s="2">
        <v>8.0</v>
      </c>
      <c r="C253" s="2">
        <v>222.0</v>
      </c>
      <c r="D253" s="4">
        <f t="shared" si="12"/>
        <v>222</v>
      </c>
      <c r="E253" s="2">
        <v>330.0</v>
      </c>
      <c r="F253" s="16">
        <f t="shared" si="13"/>
        <v>74.67272727</v>
      </c>
    </row>
    <row r="254" ht="22.5" customHeight="1">
      <c r="B254" s="2">
        <v>7.0</v>
      </c>
      <c r="C254" s="2">
        <v>176.0</v>
      </c>
      <c r="D254" s="4">
        <f t="shared" si="12"/>
        <v>176</v>
      </c>
      <c r="E254" s="2">
        <v>240.0</v>
      </c>
      <c r="F254" s="16">
        <f t="shared" si="13"/>
        <v>64.53333333</v>
      </c>
    </row>
    <row r="255" ht="22.5" customHeight="1">
      <c r="B255" s="2">
        <v>6.0</v>
      </c>
      <c r="C255" s="2">
        <v>130.0</v>
      </c>
      <c r="D255" s="4">
        <f t="shared" si="12"/>
        <v>130</v>
      </c>
      <c r="E255" s="2">
        <v>170.0</v>
      </c>
      <c r="F255" s="16">
        <f t="shared" si="13"/>
        <v>49.70588235</v>
      </c>
    </row>
    <row r="256" ht="22.5" customHeight="1">
      <c r="B256" s="2">
        <v>5.0</v>
      </c>
      <c r="C256" s="2">
        <v>94.0</v>
      </c>
      <c r="D256" s="4">
        <f t="shared" si="12"/>
        <v>94</v>
      </c>
      <c r="E256" s="2">
        <v>130.0</v>
      </c>
      <c r="F256" s="16">
        <f t="shared" si="13"/>
        <v>33.98461538</v>
      </c>
    </row>
    <row r="257" ht="22.5" customHeight="1">
      <c r="B257" s="2">
        <v>4.0</v>
      </c>
      <c r="C257" s="2">
        <v>78.0</v>
      </c>
      <c r="D257" s="4">
        <f t="shared" si="12"/>
        <v>78</v>
      </c>
      <c r="E257" s="2">
        <v>90.0</v>
      </c>
      <c r="F257" s="16">
        <f t="shared" si="13"/>
        <v>33.8</v>
      </c>
    </row>
    <row r="258" ht="22.5" customHeight="1">
      <c r="B258" s="2">
        <v>3.0</v>
      </c>
      <c r="C258" s="2">
        <v>50.0</v>
      </c>
      <c r="D258" s="4">
        <f t="shared" si="12"/>
        <v>50</v>
      </c>
      <c r="E258" s="2">
        <v>60.0</v>
      </c>
      <c r="F258" s="16">
        <f t="shared" si="13"/>
        <v>20.83333333</v>
      </c>
    </row>
    <row r="259" ht="22.5" customHeight="1">
      <c r="B259" s="2">
        <v>2.0</v>
      </c>
      <c r="C259" s="2">
        <v>32.0</v>
      </c>
      <c r="D259" s="4">
        <f t="shared" si="12"/>
        <v>32</v>
      </c>
      <c r="E259" s="2">
        <v>50.0</v>
      </c>
      <c r="F259" s="16">
        <f t="shared" si="13"/>
        <v>10.24</v>
      </c>
    </row>
    <row r="260" ht="22.5" customHeight="1">
      <c r="B260" s="2">
        <v>1.0</v>
      </c>
      <c r="C260" s="2">
        <v>8.0</v>
      </c>
      <c r="D260" s="4">
        <f t="shared" si="12"/>
        <v>8</v>
      </c>
      <c r="E260" s="2">
        <v>40.0</v>
      </c>
      <c r="F260" s="16">
        <f t="shared" si="13"/>
        <v>0.8</v>
      </c>
    </row>
    <row r="261" ht="22.5" customHeight="1">
      <c r="B261" s="2">
        <v>0.0</v>
      </c>
      <c r="C261" s="2">
        <v>0.0</v>
      </c>
      <c r="D261" s="4">
        <f t="shared" si="12"/>
        <v>0</v>
      </c>
      <c r="E261" s="2">
        <v>0.0</v>
      </c>
      <c r="F261" s="17">
        <v>0.0</v>
      </c>
    </row>
    <row r="265">
      <c r="C265" s="7">
        <v>467.20000000000005</v>
      </c>
      <c r="D265" s="6">
        <f t="shared" ref="D265:D279" si="14">C265*1000</f>
        <v>467200</v>
      </c>
      <c r="E265" s="12">
        <v>1500.0</v>
      </c>
      <c r="F265" s="6">
        <f>D265^2/(2*E265*1000*1000)</f>
        <v>72.75861333</v>
      </c>
    </row>
    <row r="266">
      <c r="C266" s="7">
        <v>409.6</v>
      </c>
      <c r="D266" s="6">
        <f t="shared" si="14"/>
        <v>409600</v>
      </c>
      <c r="E266" s="12">
        <v>1230.0</v>
      </c>
    </row>
    <row r="267">
      <c r="C267" s="7">
        <v>360.0</v>
      </c>
      <c r="D267" s="6">
        <f t="shared" si="14"/>
        <v>360000</v>
      </c>
      <c r="E267" s="12">
        <v>980.0</v>
      </c>
    </row>
    <row r="268">
      <c r="C268" s="7">
        <v>311.20000000000005</v>
      </c>
      <c r="D268" s="6">
        <f t="shared" si="14"/>
        <v>311200</v>
      </c>
      <c r="E268" s="12">
        <v>760.0</v>
      </c>
    </row>
    <row r="269">
      <c r="C269" s="7">
        <v>262.40000000000003</v>
      </c>
      <c r="D269" s="6">
        <f t="shared" si="14"/>
        <v>262400</v>
      </c>
      <c r="E269" s="12">
        <v>570.0</v>
      </c>
    </row>
    <row r="270">
      <c r="C270" s="7">
        <v>218.4</v>
      </c>
      <c r="D270" s="6">
        <f t="shared" si="14"/>
        <v>218400</v>
      </c>
      <c r="E270" s="12">
        <v>450.0</v>
      </c>
    </row>
    <row r="271">
      <c r="C271" s="7">
        <v>177.60000000000002</v>
      </c>
      <c r="D271" s="6">
        <f t="shared" si="14"/>
        <v>177600</v>
      </c>
      <c r="E271" s="12">
        <v>330.0</v>
      </c>
    </row>
    <row r="272">
      <c r="C272" s="7">
        <v>140.8</v>
      </c>
      <c r="D272" s="6">
        <f t="shared" si="14"/>
        <v>140800</v>
      </c>
      <c r="E272" s="12">
        <v>240.0</v>
      </c>
    </row>
    <row r="273">
      <c r="C273" s="7">
        <v>104.0</v>
      </c>
      <c r="D273" s="6">
        <f t="shared" si="14"/>
        <v>104000</v>
      </c>
      <c r="E273" s="12">
        <v>170.0</v>
      </c>
    </row>
    <row r="274">
      <c r="C274" s="7">
        <v>75.2</v>
      </c>
      <c r="D274" s="6">
        <f t="shared" si="14"/>
        <v>75200</v>
      </c>
      <c r="E274" s="12">
        <v>130.0</v>
      </c>
    </row>
    <row r="275">
      <c r="C275" s="7">
        <v>62.400000000000006</v>
      </c>
      <c r="D275" s="6">
        <f t="shared" si="14"/>
        <v>62400</v>
      </c>
      <c r="E275" s="12">
        <v>90.0</v>
      </c>
    </row>
    <row r="276">
      <c r="C276" s="7">
        <v>40.0</v>
      </c>
      <c r="D276" s="6">
        <f t="shared" si="14"/>
        <v>40000</v>
      </c>
      <c r="E276" s="12">
        <v>60.0</v>
      </c>
    </row>
    <row r="277">
      <c r="C277" s="7">
        <v>25.6</v>
      </c>
      <c r="D277" s="6">
        <f t="shared" si="14"/>
        <v>25600</v>
      </c>
      <c r="E277" s="12">
        <v>50.0</v>
      </c>
    </row>
    <row r="278">
      <c r="C278" s="7">
        <v>6.4</v>
      </c>
      <c r="D278" s="6">
        <f t="shared" si="14"/>
        <v>6400</v>
      </c>
      <c r="E278" s="12">
        <v>40.0</v>
      </c>
    </row>
    <row r="279">
      <c r="C279" s="7">
        <v>0.0</v>
      </c>
      <c r="D279" s="6">
        <f t="shared" si="14"/>
        <v>0</v>
      </c>
      <c r="E279" s="12">
        <v>0.0</v>
      </c>
    </row>
    <row r="444">
      <c r="H444" s="14" t="s">
        <v>22</v>
      </c>
      <c r="I444" s="14">
        <v>0.0</v>
      </c>
      <c r="J444" s="14">
        <v>8.0</v>
      </c>
      <c r="K444" s="14">
        <v>32.0</v>
      </c>
      <c r="L444" s="14">
        <v>50.0</v>
      </c>
      <c r="M444" s="14">
        <v>78.0</v>
      </c>
      <c r="N444" s="14">
        <v>94.0</v>
      </c>
      <c r="O444" s="14">
        <v>130.0</v>
      </c>
      <c r="P444" s="14">
        <v>176.0</v>
      </c>
      <c r="Q444" s="14">
        <v>222.0</v>
      </c>
      <c r="R444" s="14">
        <v>273.0</v>
      </c>
      <c r="S444" s="14">
        <v>328.0</v>
      </c>
      <c r="T444" s="14">
        <v>389.0</v>
      </c>
      <c r="U444" s="14">
        <v>450.0</v>
      </c>
      <c r="V444" s="14">
        <v>512.0</v>
      </c>
      <c r="W444" s="14">
        <v>584.0</v>
      </c>
      <c r="X444" s="14" t="s">
        <v>25</v>
      </c>
    </row>
    <row r="445">
      <c r="H445" s="14" t="s">
        <v>26</v>
      </c>
      <c r="I445" s="6">
        <f t="shared" ref="I445:W445" si="15">(I444*I444*3.4+582*I444+26000)/1000</f>
        <v>26</v>
      </c>
      <c r="J445" s="6">
        <f t="shared" si="15"/>
        <v>30.8736</v>
      </c>
      <c r="K445" s="6">
        <f t="shared" si="15"/>
        <v>48.1056</v>
      </c>
      <c r="L445" s="6">
        <f t="shared" si="15"/>
        <v>63.6</v>
      </c>
      <c r="M445" s="6">
        <f t="shared" si="15"/>
        <v>92.0816</v>
      </c>
      <c r="N445" s="6">
        <f t="shared" si="15"/>
        <v>110.7504</v>
      </c>
      <c r="O445" s="6">
        <f t="shared" si="15"/>
        <v>159.12</v>
      </c>
      <c r="P445" s="6">
        <f t="shared" si="15"/>
        <v>233.7504</v>
      </c>
      <c r="Q445" s="6">
        <f t="shared" si="15"/>
        <v>322.7696</v>
      </c>
      <c r="R445" s="6">
        <f t="shared" si="15"/>
        <v>438.2846</v>
      </c>
      <c r="S445" s="6">
        <f t="shared" si="15"/>
        <v>582.6816</v>
      </c>
      <c r="T445" s="6">
        <f t="shared" si="15"/>
        <v>766.8894</v>
      </c>
      <c r="U445" s="6">
        <f t="shared" si="15"/>
        <v>976.4</v>
      </c>
      <c r="V445" s="6">
        <f t="shared" si="15"/>
        <v>1215.2736</v>
      </c>
      <c r="W445" s="6">
        <f t="shared" si="15"/>
        <v>1525.4784</v>
      </c>
    </row>
    <row r="446">
      <c r="H446" s="14" t="s">
        <v>27</v>
      </c>
      <c r="I446" s="6">
        <f t="shared" ref="I446:W446" si="16">round((I444^2)/(2*I445),0)</f>
        <v>0</v>
      </c>
      <c r="J446" s="6">
        <f t="shared" si="16"/>
        <v>1</v>
      </c>
      <c r="K446" s="6">
        <f t="shared" si="16"/>
        <v>11</v>
      </c>
      <c r="L446" s="6">
        <f t="shared" si="16"/>
        <v>20</v>
      </c>
      <c r="M446" s="6">
        <f t="shared" si="16"/>
        <v>33</v>
      </c>
      <c r="N446" s="6">
        <f t="shared" si="16"/>
        <v>40</v>
      </c>
      <c r="O446" s="6">
        <f t="shared" si="16"/>
        <v>53</v>
      </c>
      <c r="P446" s="6">
        <f t="shared" si="16"/>
        <v>66</v>
      </c>
      <c r="Q446" s="6">
        <f t="shared" si="16"/>
        <v>76</v>
      </c>
      <c r="R446" s="6">
        <f t="shared" si="16"/>
        <v>85</v>
      </c>
      <c r="S446" s="6">
        <f t="shared" si="16"/>
        <v>92</v>
      </c>
      <c r="T446" s="6">
        <f t="shared" si="16"/>
        <v>99</v>
      </c>
      <c r="U446" s="6">
        <f t="shared" si="16"/>
        <v>104</v>
      </c>
      <c r="V446" s="6">
        <f t="shared" si="16"/>
        <v>108</v>
      </c>
      <c r="W446" s="6">
        <f t="shared" si="16"/>
        <v>112</v>
      </c>
    </row>
  </sheetData>
  <dataValidations>
    <dataValidation type="list" allowBlank="1" showDropDown="1" showErrorMessage="1" sqref="B167:B203">
      <formula1>"E14,D5,E6,D4,B6,C12,A4,B16,C10,B1,D14"</formula1>
    </dataValidation>
    <dataValidation type="custom" allowBlank="1" showDropDown="1" sqref="A2:A37 C2:E37 A45:A67 C45:F67 A75:A102 C75:D102 A125:A149 C125:E149 A167:A203 C167:F203 B247:F261">
      <formula1>AND(ISNUMBER(A2),(NOT(OR(NOT(ISERROR(DATEVALUE(A2))), AND(ISNUMBER(A2), LEFT(CELL("format", A2))="D")))))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4"/>
      <c r="C1" s="14"/>
      <c r="D1" s="14"/>
      <c r="E1" s="14"/>
      <c r="F1" s="14"/>
      <c r="G1" s="18"/>
    </row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28</v>
      </c>
      <c r="F2" s="1" t="s">
        <v>29</v>
      </c>
      <c r="G2" s="15" t="s">
        <v>30</v>
      </c>
    </row>
    <row r="3" ht="22.5" customHeight="1">
      <c r="A3" s="3">
        <v>44.0</v>
      </c>
      <c r="B3" s="3">
        <v>4.0</v>
      </c>
      <c r="C3" s="3">
        <v>376.0</v>
      </c>
      <c r="D3" s="3">
        <v>691.0</v>
      </c>
      <c r="E3" s="3">
        <f t="shared" ref="E3:F3" si="1">C3</f>
        <v>376</v>
      </c>
      <c r="F3" s="3">
        <f t="shared" si="1"/>
        <v>691</v>
      </c>
      <c r="G3" s="19">
        <f t="shared" ref="G3:G18" si="3">C3/D3*1000</f>
        <v>544.1389291</v>
      </c>
    </row>
    <row r="4" ht="22.5" customHeight="1">
      <c r="A4" s="3">
        <v>4.0</v>
      </c>
      <c r="B4" s="3">
        <v>32.0</v>
      </c>
      <c r="C4" s="3">
        <v>437.0</v>
      </c>
      <c r="D4" s="3">
        <v>750.0</v>
      </c>
      <c r="E4" s="3">
        <f t="shared" ref="E4:F4" si="2">E3+C4</f>
        <v>813</v>
      </c>
      <c r="F4" s="3">
        <f t="shared" si="2"/>
        <v>1441</v>
      </c>
      <c r="G4" s="19">
        <f t="shared" si="3"/>
        <v>582.6666667</v>
      </c>
    </row>
    <row r="5" ht="22.5" customHeight="1">
      <c r="A5" s="3">
        <v>32.0</v>
      </c>
      <c r="B5" s="3">
        <v>42.0</v>
      </c>
      <c r="C5" s="3">
        <v>376.0</v>
      </c>
      <c r="D5" s="3">
        <v>630.0</v>
      </c>
      <c r="E5" s="3">
        <f t="shared" ref="E5:F5" si="4">E4+C5</f>
        <v>1189</v>
      </c>
      <c r="F5" s="3">
        <f t="shared" si="4"/>
        <v>2071</v>
      </c>
      <c r="G5" s="19">
        <f t="shared" si="3"/>
        <v>596.8253968</v>
      </c>
    </row>
    <row r="6" ht="22.5" customHeight="1">
      <c r="A6" s="3">
        <v>42.0</v>
      </c>
      <c r="B6" s="3">
        <v>19.0</v>
      </c>
      <c r="C6" s="3">
        <v>367.0</v>
      </c>
      <c r="D6" s="3">
        <v>620.0</v>
      </c>
      <c r="E6" s="3">
        <f t="shared" ref="E6:F6" si="5">E5+C6</f>
        <v>1556</v>
      </c>
      <c r="F6" s="3">
        <f t="shared" si="5"/>
        <v>2691</v>
      </c>
      <c r="G6" s="19">
        <f t="shared" si="3"/>
        <v>591.9354839</v>
      </c>
    </row>
    <row r="7" ht="22.5" customHeight="1">
      <c r="A7" s="3">
        <v>19.0</v>
      </c>
      <c r="B7" s="3">
        <v>34.0</v>
      </c>
      <c r="C7" s="3">
        <v>201.0</v>
      </c>
      <c r="D7" s="3">
        <v>330.0</v>
      </c>
      <c r="E7" s="3">
        <f t="shared" ref="E7:F7" si="6">E6+C7</f>
        <v>1757</v>
      </c>
      <c r="F7" s="3">
        <f t="shared" si="6"/>
        <v>3021</v>
      </c>
      <c r="G7" s="19">
        <f t="shared" si="3"/>
        <v>609.0909091</v>
      </c>
    </row>
    <row r="8" ht="22.5" customHeight="1">
      <c r="A8" s="3">
        <v>34.0</v>
      </c>
      <c r="B8" s="3">
        <v>66.0</v>
      </c>
      <c r="C8" s="3">
        <v>485.0</v>
      </c>
      <c r="D8" s="3">
        <v>820.0</v>
      </c>
      <c r="E8" s="3">
        <f t="shared" ref="E8:F8" si="7">E7+C8</f>
        <v>2242</v>
      </c>
      <c r="F8" s="3">
        <f t="shared" si="7"/>
        <v>3841</v>
      </c>
      <c r="G8" s="19">
        <f t="shared" si="3"/>
        <v>591.4634146</v>
      </c>
    </row>
    <row r="9" ht="22.5" customHeight="1">
      <c r="A9" s="3">
        <v>66.0</v>
      </c>
      <c r="B9" s="3">
        <v>79.0</v>
      </c>
      <c r="C9" s="3">
        <v>201.0</v>
      </c>
      <c r="D9" s="3">
        <v>330.0</v>
      </c>
      <c r="E9" s="3">
        <f t="shared" ref="E9:F9" si="8">E8+C9</f>
        <v>2443</v>
      </c>
      <c r="F9" s="3">
        <f t="shared" si="8"/>
        <v>4171</v>
      </c>
      <c r="G9" s="19">
        <f t="shared" si="3"/>
        <v>609.0909091</v>
      </c>
    </row>
    <row r="10" ht="22.5" customHeight="1">
      <c r="A10" s="3">
        <v>79.0</v>
      </c>
      <c r="B10" s="3">
        <v>44.0</v>
      </c>
      <c r="C10" s="3">
        <v>366.0</v>
      </c>
      <c r="D10" s="3">
        <v>620.0</v>
      </c>
      <c r="E10" s="3">
        <f t="shared" ref="E10:F10" si="9">E9+C10</f>
        <v>2809</v>
      </c>
      <c r="F10" s="3">
        <f t="shared" si="9"/>
        <v>4791</v>
      </c>
      <c r="G10" s="19">
        <f t="shared" si="3"/>
        <v>590.3225806</v>
      </c>
    </row>
    <row r="11" ht="22.5" customHeight="1">
      <c r="A11" s="3">
        <v>44.0</v>
      </c>
      <c r="B11" s="3">
        <v>4.0</v>
      </c>
      <c r="C11" s="3">
        <v>376.0</v>
      </c>
      <c r="D11" s="3">
        <v>620.0</v>
      </c>
      <c r="E11" s="3">
        <f t="shared" ref="E11:F11" si="10">E10+C11</f>
        <v>3185</v>
      </c>
      <c r="F11" s="3">
        <f t="shared" si="10"/>
        <v>5411</v>
      </c>
      <c r="G11" s="19">
        <f t="shared" si="3"/>
        <v>606.4516129</v>
      </c>
    </row>
    <row r="12" ht="22.5" customHeight="1">
      <c r="A12" s="3">
        <v>4.0</v>
      </c>
      <c r="B12" s="3">
        <v>32.0</v>
      </c>
      <c r="C12" s="3">
        <v>437.0</v>
      </c>
      <c r="D12" s="3">
        <v>720.0</v>
      </c>
      <c r="E12" s="3">
        <f t="shared" ref="E12:F12" si="11">E11+C12</f>
        <v>3622</v>
      </c>
      <c r="F12" s="3">
        <f t="shared" si="11"/>
        <v>6131</v>
      </c>
      <c r="G12" s="19">
        <f t="shared" si="3"/>
        <v>606.9444444</v>
      </c>
    </row>
    <row r="13" ht="22.5" customHeight="1">
      <c r="A13" s="3">
        <v>32.0</v>
      </c>
      <c r="B13" s="3">
        <v>42.0</v>
      </c>
      <c r="C13" s="3">
        <v>376.0</v>
      </c>
      <c r="D13" s="3">
        <v>620.0</v>
      </c>
      <c r="E13" s="3">
        <f t="shared" ref="E13:F13" si="12">E12+C13</f>
        <v>3998</v>
      </c>
      <c r="F13" s="3">
        <f t="shared" si="12"/>
        <v>6751</v>
      </c>
      <c r="G13" s="19">
        <f t="shared" si="3"/>
        <v>606.4516129</v>
      </c>
    </row>
    <row r="14" ht="22.5" customHeight="1">
      <c r="A14" s="3">
        <v>42.0</v>
      </c>
      <c r="B14" s="3">
        <v>19.0</v>
      </c>
      <c r="C14" s="3">
        <v>367.0</v>
      </c>
      <c r="D14" s="3">
        <v>610.0</v>
      </c>
      <c r="E14" s="3">
        <f t="shared" ref="E14:F14" si="13">E13+C14</f>
        <v>4365</v>
      </c>
      <c r="F14" s="3">
        <f t="shared" si="13"/>
        <v>7361</v>
      </c>
      <c r="G14" s="19">
        <f t="shared" si="3"/>
        <v>601.6393443</v>
      </c>
    </row>
    <row r="15" ht="22.5" customHeight="1">
      <c r="A15" s="3">
        <v>19.0</v>
      </c>
      <c r="B15" s="3">
        <v>34.0</v>
      </c>
      <c r="C15" s="3">
        <v>201.0</v>
      </c>
      <c r="D15" s="3">
        <v>330.0</v>
      </c>
      <c r="E15" s="3">
        <f t="shared" ref="E15:F15" si="14">E14+C15</f>
        <v>4566</v>
      </c>
      <c r="F15" s="3">
        <f t="shared" si="14"/>
        <v>7691</v>
      </c>
      <c r="G15" s="19">
        <f t="shared" si="3"/>
        <v>609.0909091</v>
      </c>
    </row>
    <row r="16" ht="22.5" customHeight="1">
      <c r="A16" s="3">
        <v>34.0</v>
      </c>
      <c r="B16" s="3">
        <v>66.0</v>
      </c>
      <c r="C16" s="3">
        <v>485.0</v>
      </c>
      <c r="D16" s="3">
        <v>810.0</v>
      </c>
      <c r="E16" s="3">
        <f t="shared" ref="E16:F16" si="15">E15+C16</f>
        <v>5051</v>
      </c>
      <c r="F16" s="3">
        <f t="shared" si="15"/>
        <v>8501</v>
      </c>
      <c r="G16" s="19">
        <f t="shared" si="3"/>
        <v>598.7654321</v>
      </c>
    </row>
    <row r="17" ht="22.5" customHeight="1">
      <c r="A17" s="3">
        <v>66.0</v>
      </c>
      <c r="B17" s="3">
        <v>79.0</v>
      </c>
      <c r="C17" s="3">
        <v>201.0</v>
      </c>
      <c r="D17" s="3">
        <v>330.0</v>
      </c>
      <c r="E17" s="3">
        <f t="shared" ref="E17:F17" si="16">E16+C17</f>
        <v>5252</v>
      </c>
      <c r="F17" s="3">
        <f t="shared" si="16"/>
        <v>8831</v>
      </c>
      <c r="G17" s="19">
        <f t="shared" si="3"/>
        <v>609.0909091</v>
      </c>
    </row>
    <row r="18" ht="22.5" customHeight="1">
      <c r="A18" s="3">
        <v>79.0</v>
      </c>
      <c r="B18" s="3">
        <v>44.0</v>
      </c>
      <c r="C18" s="3">
        <v>366.0</v>
      </c>
      <c r="D18" s="3">
        <v>610.0</v>
      </c>
      <c r="E18" s="3">
        <f t="shared" ref="E18:F18" si="17">E17+C18</f>
        <v>5618</v>
      </c>
      <c r="F18" s="3">
        <f t="shared" si="17"/>
        <v>9441</v>
      </c>
      <c r="G18" s="19">
        <f t="shared" si="3"/>
        <v>600</v>
      </c>
    </row>
    <row r="19">
      <c r="B19" s="14"/>
      <c r="C19" s="14"/>
      <c r="D19" s="14"/>
      <c r="E19" s="14"/>
      <c r="F19" s="14"/>
      <c r="G19" s="18"/>
    </row>
    <row r="20" ht="22.5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28</v>
      </c>
      <c r="F20" s="1" t="s">
        <v>29</v>
      </c>
      <c r="G20" s="15" t="s">
        <v>30</v>
      </c>
      <c r="H20" s="15" t="s">
        <v>31</v>
      </c>
      <c r="I20" s="15" t="s">
        <v>32</v>
      </c>
      <c r="J20" s="14">
        <v>2.3E-4</v>
      </c>
      <c r="K20" s="6">
        <f>J20*100000</f>
        <v>23</v>
      </c>
    </row>
    <row r="21" ht="22.5" customHeight="1">
      <c r="A21" s="2">
        <v>79.0</v>
      </c>
      <c r="B21" s="2">
        <v>44.0</v>
      </c>
      <c r="C21" s="2">
        <v>366.0</v>
      </c>
      <c r="D21" s="2">
        <v>610.0</v>
      </c>
      <c r="E21" s="2">
        <f t="shared" ref="E21:F21" si="18">C21</f>
        <v>366</v>
      </c>
      <c r="F21" s="2">
        <f t="shared" si="18"/>
        <v>610</v>
      </c>
      <c r="G21" s="19">
        <f t="shared" ref="G21:G37" si="20">C21/D21*1000</f>
        <v>600</v>
      </c>
      <c r="H21" s="20">
        <v>600.0</v>
      </c>
      <c r="I21" s="21">
        <f>(G21-G22)/(D22-400)*1000</f>
        <v>86.15384615</v>
      </c>
      <c r="V21" s="14" t="s">
        <v>33</v>
      </c>
      <c r="W21" s="14">
        <v>10.0</v>
      </c>
      <c r="X21" s="18"/>
    </row>
    <row r="22" ht="22.5" customHeight="1">
      <c r="A22" s="2">
        <v>44.0</v>
      </c>
      <c r="B22" s="2">
        <v>4.0</v>
      </c>
      <c r="C22" s="2">
        <v>376.0</v>
      </c>
      <c r="D22" s="2">
        <v>650.0</v>
      </c>
      <c r="E22" s="2">
        <f t="shared" ref="E22:F22" si="19">E21+C22</f>
        <v>742</v>
      </c>
      <c r="F22" s="2">
        <f t="shared" si="19"/>
        <v>1260</v>
      </c>
      <c r="G22" s="19">
        <f t="shared" si="20"/>
        <v>578.4615385</v>
      </c>
      <c r="H22" s="19">
        <v>578.4615384615385</v>
      </c>
      <c r="I22" s="21">
        <f t="shared" ref="I22:I27" si="22">(G22-G23)/D23*1000</f>
        <v>112.458194</v>
      </c>
      <c r="V22" s="14" t="s">
        <v>27</v>
      </c>
      <c r="W22" s="14">
        <v>23.0</v>
      </c>
    </row>
    <row r="23" ht="22.5" customHeight="1">
      <c r="A23" s="2">
        <v>4.0</v>
      </c>
      <c r="B23" s="2">
        <v>32.0</v>
      </c>
      <c r="C23" s="2">
        <v>437.0</v>
      </c>
      <c r="D23" s="2">
        <v>920.0</v>
      </c>
      <c r="E23" s="2">
        <f t="shared" ref="E23:F23" si="21">E22+C23</f>
        <v>1179</v>
      </c>
      <c r="F23" s="2">
        <f t="shared" si="21"/>
        <v>2180</v>
      </c>
      <c r="G23" s="19">
        <f t="shared" si="20"/>
        <v>475</v>
      </c>
      <c r="H23" s="19">
        <f t="shared" ref="H23:H37" si="24">H22-(H22*$K$20*D23)/100000</f>
        <v>456.0590769</v>
      </c>
      <c r="I23" s="21">
        <f t="shared" si="22"/>
        <v>126.0396463</v>
      </c>
      <c r="V23" s="14" t="s">
        <v>34</v>
      </c>
      <c r="W23" s="14">
        <v>600000.0</v>
      </c>
    </row>
    <row r="24" ht="22.5" customHeight="1">
      <c r="A24" s="2">
        <v>32.0</v>
      </c>
      <c r="B24" s="2">
        <v>42.0</v>
      </c>
      <c r="C24" s="2">
        <v>376.0</v>
      </c>
      <c r="D24" s="2">
        <v>1131.0</v>
      </c>
      <c r="E24" s="2">
        <f t="shared" ref="E24:F24" si="23">E23+C24</f>
        <v>1555</v>
      </c>
      <c r="F24" s="2">
        <f t="shared" si="23"/>
        <v>3311</v>
      </c>
      <c r="G24" s="19">
        <f t="shared" si="20"/>
        <v>332.44916</v>
      </c>
      <c r="H24" s="19">
        <f t="shared" si="24"/>
        <v>337.4244292</v>
      </c>
      <c r="I24" s="21">
        <f t="shared" si="22"/>
        <v>75.28034484</v>
      </c>
      <c r="W24" s="6">
        <f>W23*100000</f>
        <v>60000000000</v>
      </c>
    </row>
    <row r="25" ht="22.5" customHeight="1">
      <c r="A25" s="2">
        <v>42.0</v>
      </c>
      <c r="B25" s="2">
        <v>19.0</v>
      </c>
      <c r="C25" s="2">
        <v>367.0</v>
      </c>
      <c r="D25" s="2">
        <v>2230.0</v>
      </c>
      <c r="E25" s="2">
        <f t="shared" ref="E25:F25" si="25">E24+C25</f>
        <v>1922</v>
      </c>
      <c r="F25" s="2">
        <f t="shared" si="25"/>
        <v>5541</v>
      </c>
      <c r="G25" s="19">
        <f t="shared" si="20"/>
        <v>164.573991</v>
      </c>
      <c r="H25" s="19">
        <f t="shared" si="24"/>
        <v>164.3594395</v>
      </c>
      <c r="I25" s="21">
        <f t="shared" si="22"/>
        <v>32.5954308</v>
      </c>
      <c r="V25" s="14" t="s">
        <v>35</v>
      </c>
      <c r="W25" s="6">
        <f>(W23*100000-W23*W22*W21)/100000</f>
        <v>598620</v>
      </c>
    </row>
    <row r="26" ht="22.5" customHeight="1">
      <c r="A26" s="2">
        <v>19.0</v>
      </c>
      <c r="B26" s="2">
        <v>34.0</v>
      </c>
      <c r="C26" s="2">
        <v>201.0</v>
      </c>
      <c r="D26" s="2">
        <v>2070.0</v>
      </c>
      <c r="E26" s="2">
        <f t="shared" ref="E26:F26" si="26">E25+C26</f>
        <v>2123</v>
      </c>
      <c r="F26" s="2">
        <f t="shared" si="26"/>
        <v>7611</v>
      </c>
      <c r="G26" s="19">
        <f t="shared" si="20"/>
        <v>97.10144928</v>
      </c>
      <c r="H26" s="19">
        <f t="shared" si="24"/>
        <v>86.10791035</v>
      </c>
      <c r="I26" s="21">
        <f t="shared" si="22"/>
        <v>2.239593817</v>
      </c>
    </row>
    <row r="27" ht="22.5" customHeight="1">
      <c r="A27" s="2">
        <v>34.0</v>
      </c>
      <c r="B27" s="2">
        <v>66.0</v>
      </c>
      <c r="C27" s="2">
        <v>485.0</v>
      </c>
      <c r="D27" s="2">
        <v>5760.0</v>
      </c>
      <c r="E27" s="2">
        <f t="shared" ref="E27:F27" si="27">E26+C27</f>
        <v>2608</v>
      </c>
      <c r="F27" s="2">
        <f t="shared" si="27"/>
        <v>13371</v>
      </c>
      <c r="G27" s="19">
        <f t="shared" si="20"/>
        <v>84.20138889</v>
      </c>
      <c r="H27" s="19">
        <f t="shared" si="24"/>
        <v>-27.96784928</v>
      </c>
      <c r="I27" s="21">
        <f t="shared" si="22"/>
        <v>0.624995899</v>
      </c>
    </row>
    <row r="28" ht="22.5" customHeight="1">
      <c r="A28" s="2">
        <v>66.0</v>
      </c>
      <c r="B28" s="2">
        <v>79.0</v>
      </c>
      <c r="C28" s="2">
        <v>201.0</v>
      </c>
      <c r="D28" s="2">
        <v>2431.0</v>
      </c>
      <c r="E28" s="2">
        <f t="shared" ref="E28:F28" si="28">E27+C28</f>
        <v>2809</v>
      </c>
      <c r="F28" s="2">
        <f t="shared" si="28"/>
        <v>15802</v>
      </c>
      <c r="G28" s="19">
        <f t="shared" si="20"/>
        <v>82.68202386</v>
      </c>
      <c r="H28" s="19">
        <f t="shared" si="24"/>
        <v>-12.33018571</v>
      </c>
      <c r="I28" s="21"/>
    </row>
    <row r="29" ht="22.5" customHeight="1">
      <c r="A29" s="2">
        <v>79.0</v>
      </c>
      <c r="B29" s="2">
        <v>44.0</v>
      </c>
      <c r="C29" s="2">
        <v>366.0</v>
      </c>
      <c r="D29" s="2">
        <v>4600.0</v>
      </c>
      <c r="E29" s="2">
        <f t="shared" ref="E29:F29" si="29">E28+C29</f>
        <v>3175</v>
      </c>
      <c r="F29" s="2">
        <f t="shared" si="29"/>
        <v>20402</v>
      </c>
      <c r="G29" s="19">
        <f t="shared" si="20"/>
        <v>79.56521739</v>
      </c>
      <c r="H29" s="19">
        <f t="shared" si="24"/>
        <v>0.7151507713</v>
      </c>
      <c r="I29" s="21"/>
    </row>
    <row r="30" ht="22.5" customHeight="1">
      <c r="A30" s="2">
        <v>44.0</v>
      </c>
      <c r="B30" s="2">
        <v>4.0</v>
      </c>
      <c r="C30" s="2">
        <v>376.0</v>
      </c>
      <c r="D30" s="2">
        <v>4580.0</v>
      </c>
      <c r="E30" s="2">
        <f t="shared" ref="E30:F30" si="30">E29+C30</f>
        <v>3551</v>
      </c>
      <c r="F30" s="2">
        <f t="shared" si="30"/>
        <v>24982</v>
      </c>
      <c r="G30" s="19">
        <f t="shared" si="20"/>
        <v>82.09606987</v>
      </c>
      <c r="H30" s="19">
        <f t="shared" si="24"/>
        <v>-0.03818905119</v>
      </c>
      <c r="I30" s="21"/>
    </row>
    <row r="31" ht="22.5" customHeight="1">
      <c r="A31" s="2">
        <v>4.0</v>
      </c>
      <c r="B31" s="2">
        <v>32.0</v>
      </c>
      <c r="C31" s="2">
        <v>437.0</v>
      </c>
      <c r="D31" s="2">
        <v>5411.0</v>
      </c>
      <c r="E31" s="2">
        <f t="shared" ref="E31:F31" si="31">E30+C31</f>
        <v>3988</v>
      </c>
      <c r="F31" s="2">
        <f t="shared" si="31"/>
        <v>30393</v>
      </c>
      <c r="G31" s="19">
        <f t="shared" si="20"/>
        <v>80.76141194</v>
      </c>
      <c r="H31" s="19">
        <f t="shared" si="24"/>
        <v>0.009338368687</v>
      </c>
      <c r="I31" s="21"/>
    </row>
    <row r="32" ht="22.5" customHeight="1">
      <c r="A32" s="2">
        <v>32.0</v>
      </c>
      <c r="B32" s="2">
        <v>42.0</v>
      </c>
      <c r="C32" s="2">
        <v>376.0</v>
      </c>
      <c r="D32" s="2">
        <v>4660.0</v>
      </c>
      <c r="E32" s="2">
        <f t="shared" ref="E32:F32" si="32">E31+C32</f>
        <v>4364</v>
      </c>
      <c r="F32" s="2">
        <f t="shared" si="32"/>
        <v>35053</v>
      </c>
      <c r="G32" s="19">
        <f t="shared" si="20"/>
        <v>80.68669528</v>
      </c>
      <c r="H32" s="19">
        <f t="shared" si="24"/>
        <v>-0.0006704948717</v>
      </c>
      <c r="I32" s="21"/>
    </row>
    <row r="33" ht="22.5" customHeight="1">
      <c r="A33" s="2">
        <v>42.0</v>
      </c>
      <c r="B33" s="2">
        <v>19.0</v>
      </c>
      <c r="C33" s="2">
        <v>367.0</v>
      </c>
      <c r="D33" s="2">
        <v>4581.0</v>
      </c>
      <c r="E33" s="2">
        <f t="shared" ref="E33:F33" si="33">E32+C33</f>
        <v>4731</v>
      </c>
      <c r="F33" s="2">
        <f t="shared" si="33"/>
        <v>39634</v>
      </c>
      <c r="G33" s="19">
        <f t="shared" si="20"/>
        <v>80.11351233</v>
      </c>
      <c r="H33" s="19">
        <f t="shared" si="24"/>
        <v>0.00003595863997</v>
      </c>
      <c r="I33" s="21"/>
    </row>
    <row r="34" ht="22.5" customHeight="1">
      <c r="A34" s="2">
        <v>19.0</v>
      </c>
      <c r="B34" s="2">
        <v>34.0</v>
      </c>
      <c r="C34" s="2">
        <v>201.0</v>
      </c>
      <c r="D34" s="2">
        <v>2500.0</v>
      </c>
      <c r="E34" s="2">
        <f t="shared" ref="E34:F34" si="34">E33+C34</f>
        <v>4932</v>
      </c>
      <c r="F34" s="2">
        <f t="shared" si="34"/>
        <v>42134</v>
      </c>
      <c r="G34" s="19">
        <f t="shared" si="20"/>
        <v>80.4</v>
      </c>
      <c r="H34" s="19">
        <f t="shared" si="24"/>
        <v>0.00001528242199</v>
      </c>
      <c r="I34" s="21"/>
    </row>
    <row r="35" ht="22.5" customHeight="1">
      <c r="A35" s="2">
        <v>34.0</v>
      </c>
      <c r="B35" s="2">
        <v>66.0</v>
      </c>
      <c r="C35" s="2">
        <v>485.0</v>
      </c>
      <c r="D35" s="2">
        <v>6020.0</v>
      </c>
      <c r="E35" s="2">
        <f t="shared" ref="E35:F35" si="35">E34+C35</f>
        <v>5417</v>
      </c>
      <c r="F35" s="2">
        <f t="shared" si="35"/>
        <v>48154</v>
      </c>
      <c r="G35" s="19">
        <f t="shared" si="20"/>
        <v>80.56478405</v>
      </c>
      <c r="H35" s="19">
        <f t="shared" si="24"/>
        <v>-0.000005877619496</v>
      </c>
      <c r="I35" s="21"/>
    </row>
    <row r="36" ht="22.5" customHeight="1">
      <c r="A36" s="2">
        <v>66.0</v>
      </c>
      <c r="B36" s="2">
        <v>79.0</v>
      </c>
      <c r="C36" s="2">
        <v>201.0</v>
      </c>
      <c r="D36" s="2">
        <v>2451.0</v>
      </c>
      <c r="E36" s="2">
        <f t="shared" ref="E36:F36" si="36">E35+C36</f>
        <v>5618</v>
      </c>
      <c r="F36" s="2">
        <f t="shared" si="36"/>
        <v>50605</v>
      </c>
      <c r="G36" s="19">
        <f t="shared" si="20"/>
        <v>82.00734394</v>
      </c>
      <c r="H36" s="19">
        <f t="shared" si="24"/>
        <v>-0.000002564229058</v>
      </c>
      <c r="I36" s="21"/>
    </row>
    <row r="37" ht="22.5" customHeight="1">
      <c r="A37" s="2">
        <v>79.0</v>
      </c>
      <c r="B37" s="2">
        <v>44.0</v>
      </c>
      <c r="C37" s="2">
        <v>366.0</v>
      </c>
      <c r="D37" s="2">
        <v>4580.0</v>
      </c>
      <c r="E37" s="2">
        <f t="shared" ref="E37:F37" si="37">E36+C37</f>
        <v>5984</v>
      </c>
      <c r="F37" s="2">
        <f t="shared" si="37"/>
        <v>55185</v>
      </c>
      <c r="G37" s="19">
        <f t="shared" si="20"/>
        <v>79.91266376</v>
      </c>
      <c r="H37" s="19">
        <f t="shared" si="24"/>
        <v>0.0000001369298317</v>
      </c>
      <c r="I37" s="21"/>
    </row>
    <row r="38">
      <c r="B38" s="14"/>
      <c r="C38" s="14"/>
      <c r="D38" s="14"/>
      <c r="E38" s="14"/>
      <c r="F38" s="14"/>
      <c r="G38" s="18"/>
    </row>
    <row r="39" ht="22.5" customHeight="1">
      <c r="A39" s="1" t="s">
        <v>0</v>
      </c>
      <c r="B39" s="1" t="s">
        <v>1</v>
      </c>
      <c r="C39" s="1" t="s">
        <v>2</v>
      </c>
      <c r="D39" s="1" t="s">
        <v>3</v>
      </c>
      <c r="E39" s="1" t="s">
        <v>28</v>
      </c>
      <c r="F39" s="1" t="s">
        <v>29</v>
      </c>
      <c r="G39" s="15" t="s">
        <v>30</v>
      </c>
      <c r="H39" s="15" t="s">
        <v>31</v>
      </c>
      <c r="K39" s="14">
        <v>343.0</v>
      </c>
    </row>
    <row r="40" ht="22.5" customHeight="1">
      <c r="A40" s="2">
        <v>44.0</v>
      </c>
      <c r="B40" s="2">
        <v>4.0</v>
      </c>
      <c r="C40" s="2">
        <v>376.0</v>
      </c>
      <c r="D40" s="2">
        <v>2430.0</v>
      </c>
      <c r="E40" s="2">
        <f t="shared" ref="E40:F40" si="38">C40</f>
        <v>376</v>
      </c>
      <c r="F40" s="2">
        <f t="shared" si="38"/>
        <v>2430</v>
      </c>
      <c r="G40" s="19">
        <f t="shared" ref="G40:G55" si="40">C40/D40*1000</f>
        <v>154.7325103</v>
      </c>
      <c r="H40" s="19">
        <f>G40</f>
        <v>154.7325103</v>
      </c>
      <c r="J40" s="18">
        <f>AVERAGE(H40:H44)</f>
        <v>136.7970365</v>
      </c>
    </row>
    <row r="41" ht="22.5" customHeight="1">
      <c r="A41" s="2">
        <v>4.0</v>
      </c>
      <c r="B41" s="2">
        <v>32.0</v>
      </c>
      <c r="C41" s="2">
        <v>437.0</v>
      </c>
      <c r="D41" s="2">
        <v>1360.0</v>
      </c>
      <c r="E41" s="2">
        <f t="shared" ref="E41:F41" si="39">E40+C41</f>
        <v>813</v>
      </c>
      <c r="F41" s="2">
        <f t="shared" si="39"/>
        <v>3790</v>
      </c>
      <c r="G41" s="19">
        <f t="shared" si="40"/>
        <v>321.3235294</v>
      </c>
      <c r="H41" s="5">
        <f t="shared" ref="H41:H55" si="42">(G41-G40)/D41*1000</f>
        <v>122.4933964</v>
      </c>
    </row>
    <row r="42" ht="22.5" customHeight="1">
      <c r="A42" s="2">
        <v>32.0</v>
      </c>
      <c r="B42" s="2">
        <v>42.0</v>
      </c>
      <c r="C42" s="2">
        <v>376.0</v>
      </c>
      <c r="D42" s="2">
        <v>840.0</v>
      </c>
      <c r="E42" s="2">
        <f t="shared" ref="E42:F42" si="41">E41+C42</f>
        <v>1189</v>
      </c>
      <c r="F42" s="2">
        <f t="shared" si="41"/>
        <v>4630</v>
      </c>
      <c r="G42" s="19">
        <f t="shared" si="40"/>
        <v>447.6190476</v>
      </c>
      <c r="H42" s="5">
        <f t="shared" si="42"/>
        <v>150.3518074</v>
      </c>
    </row>
    <row r="43" ht="22.5" customHeight="1">
      <c r="A43" s="2">
        <v>42.0</v>
      </c>
      <c r="B43" s="2">
        <v>19.0</v>
      </c>
      <c r="C43" s="2">
        <v>367.0</v>
      </c>
      <c r="D43" s="2">
        <v>710.0</v>
      </c>
      <c r="E43" s="2">
        <f t="shared" ref="E43:F43" si="43">E42+C43</f>
        <v>1556</v>
      </c>
      <c r="F43" s="2">
        <f t="shared" si="43"/>
        <v>5340</v>
      </c>
      <c r="G43" s="19">
        <f t="shared" si="40"/>
        <v>516.9014085</v>
      </c>
      <c r="H43" s="5">
        <f t="shared" si="42"/>
        <v>97.5807899</v>
      </c>
    </row>
    <row r="44" ht="22.5" customHeight="1">
      <c r="A44" s="2">
        <v>19.0</v>
      </c>
      <c r="B44" s="2">
        <v>34.0</v>
      </c>
      <c r="C44" s="2">
        <v>201.0</v>
      </c>
      <c r="D44" s="2">
        <v>351.0</v>
      </c>
      <c r="E44" s="2">
        <f t="shared" ref="E44:F44" si="44">E43+C44</f>
        <v>1757</v>
      </c>
      <c r="F44" s="2">
        <f t="shared" si="44"/>
        <v>5691</v>
      </c>
      <c r="G44" s="19">
        <f t="shared" si="40"/>
        <v>572.6495726</v>
      </c>
      <c r="H44" s="5">
        <f t="shared" si="42"/>
        <v>158.8266786</v>
      </c>
    </row>
    <row r="45" ht="22.5" customHeight="1">
      <c r="A45" s="2">
        <v>34.0</v>
      </c>
      <c r="B45" s="2">
        <v>66.0</v>
      </c>
      <c r="C45" s="2">
        <v>485.0</v>
      </c>
      <c r="D45" s="2">
        <v>830.0</v>
      </c>
      <c r="E45" s="2">
        <f t="shared" ref="E45:F45" si="45">E44+C45</f>
        <v>2242</v>
      </c>
      <c r="F45" s="2">
        <f t="shared" si="45"/>
        <v>6521</v>
      </c>
      <c r="G45" s="19">
        <f t="shared" si="40"/>
        <v>584.3373494</v>
      </c>
      <c r="H45" s="5">
        <f t="shared" si="42"/>
        <v>14.08165873</v>
      </c>
    </row>
    <row r="46" ht="22.5" customHeight="1">
      <c r="A46" s="2">
        <v>66.0</v>
      </c>
      <c r="B46" s="2">
        <v>79.0</v>
      </c>
      <c r="C46" s="2">
        <v>201.0</v>
      </c>
      <c r="D46" s="2">
        <v>340.0</v>
      </c>
      <c r="E46" s="2">
        <f t="shared" ref="E46:F46" si="46">E45+C46</f>
        <v>2443</v>
      </c>
      <c r="F46" s="2">
        <f t="shared" si="46"/>
        <v>6861</v>
      </c>
      <c r="G46" s="19">
        <f t="shared" si="40"/>
        <v>591.1764706</v>
      </c>
      <c r="H46" s="5">
        <f t="shared" si="42"/>
        <v>20.11506233</v>
      </c>
    </row>
    <row r="47" ht="22.5" customHeight="1">
      <c r="A47" s="2">
        <v>79.0</v>
      </c>
      <c r="B47" s="2">
        <v>44.0</v>
      </c>
      <c r="C47" s="2">
        <v>366.0</v>
      </c>
      <c r="D47" s="2">
        <v>620.0</v>
      </c>
      <c r="E47" s="2">
        <f t="shared" ref="E47:F47" si="47">E46+C47</f>
        <v>2809</v>
      </c>
      <c r="F47" s="2">
        <f t="shared" si="47"/>
        <v>7481</v>
      </c>
      <c r="G47" s="19">
        <f t="shared" si="40"/>
        <v>590.3225806</v>
      </c>
      <c r="H47" s="5">
        <f t="shared" si="42"/>
        <v>-1.377241844</v>
      </c>
    </row>
    <row r="48" ht="22.5" customHeight="1">
      <c r="A48" s="2">
        <v>44.0</v>
      </c>
      <c r="B48" s="2">
        <v>4.0</v>
      </c>
      <c r="C48" s="2">
        <v>376.0</v>
      </c>
      <c r="D48" s="2">
        <v>630.0</v>
      </c>
      <c r="E48" s="2">
        <f t="shared" ref="E48:F48" si="48">E47+C48</f>
        <v>3185</v>
      </c>
      <c r="F48" s="2">
        <f t="shared" si="48"/>
        <v>8111</v>
      </c>
      <c r="G48" s="19">
        <f t="shared" si="40"/>
        <v>596.8253968</v>
      </c>
      <c r="H48" s="5">
        <f t="shared" si="42"/>
        <v>10.32193044</v>
      </c>
    </row>
    <row r="49" ht="22.5" customHeight="1">
      <c r="A49" s="2">
        <v>4.0</v>
      </c>
      <c r="B49" s="2">
        <v>32.0</v>
      </c>
      <c r="C49" s="2">
        <v>437.0</v>
      </c>
      <c r="D49" s="2">
        <v>720.0</v>
      </c>
      <c r="E49" s="2">
        <f t="shared" ref="E49:F49" si="49">E48+C49</f>
        <v>3622</v>
      </c>
      <c r="F49" s="2">
        <f t="shared" si="49"/>
        <v>8831</v>
      </c>
      <c r="G49" s="19">
        <f t="shared" si="40"/>
        <v>606.9444444</v>
      </c>
      <c r="H49" s="5">
        <f t="shared" si="42"/>
        <v>14.0542328</v>
      </c>
    </row>
    <row r="50" ht="22.5" customHeight="1">
      <c r="A50" s="2">
        <v>32.0</v>
      </c>
      <c r="B50" s="2">
        <v>42.0</v>
      </c>
      <c r="C50" s="2">
        <v>376.0</v>
      </c>
      <c r="D50" s="2">
        <v>630.0</v>
      </c>
      <c r="E50" s="2">
        <f t="shared" ref="E50:F50" si="50">E49+C50</f>
        <v>3998</v>
      </c>
      <c r="F50" s="2">
        <f t="shared" si="50"/>
        <v>9461</v>
      </c>
      <c r="G50" s="19">
        <f t="shared" si="40"/>
        <v>596.8253968</v>
      </c>
      <c r="H50" s="5">
        <f t="shared" si="42"/>
        <v>-16.06198035</v>
      </c>
    </row>
    <row r="51" ht="22.5" customHeight="1">
      <c r="A51" s="2">
        <v>42.0</v>
      </c>
      <c r="B51" s="2">
        <v>19.0</v>
      </c>
      <c r="C51" s="2">
        <v>367.0</v>
      </c>
      <c r="D51" s="2">
        <v>610.0</v>
      </c>
      <c r="E51" s="2">
        <f t="shared" ref="E51:F51" si="51">E50+C51</f>
        <v>4365</v>
      </c>
      <c r="F51" s="2">
        <f t="shared" si="51"/>
        <v>10071</v>
      </c>
      <c r="G51" s="19">
        <f t="shared" si="40"/>
        <v>601.6393443</v>
      </c>
      <c r="H51" s="5">
        <f t="shared" si="42"/>
        <v>7.89171711</v>
      </c>
    </row>
    <row r="52" ht="22.5" customHeight="1">
      <c r="A52" s="2">
        <v>19.0</v>
      </c>
      <c r="B52" s="2">
        <v>34.0</v>
      </c>
      <c r="C52" s="2">
        <v>201.0</v>
      </c>
      <c r="D52" s="2">
        <v>330.0</v>
      </c>
      <c r="E52" s="2">
        <f t="shared" ref="E52:F52" si="52">E51+C52</f>
        <v>4566</v>
      </c>
      <c r="F52" s="2">
        <f t="shared" si="52"/>
        <v>10401</v>
      </c>
      <c r="G52" s="19">
        <f t="shared" si="40"/>
        <v>609.0909091</v>
      </c>
      <c r="H52" s="5">
        <f t="shared" si="42"/>
        <v>22.58049948</v>
      </c>
    </row>
    <row r="53" ht="22.5" customHeight="1">
      <c r="A53" s="2">
        <v>34.0</v>
      </c>
      <c r="B53" s="2">
        <v>66.0</v>
      </c>
      <c r="C53" s="2">
        <v>485.0</v>
      </c>
      <c r="D53" s="2">
        <v>810.0</v>
      </c>
      <c r="E53" s="2">
        <f t="shared" ref="E53:F53" si="53">E52+C53</f>
        <v>5051</v>
      </c>
      <c r="F53" s="2">
        <f t="shared" si="53"/>
        <v>11211</v>
      </c>
      <c r="G53" s="19">
        <f t="shared" si="40"/>
        <v>598.7654321</v>
      </c>
      <c r="H53" s="5">
        <f t="shared" si="42"/>
        <v>-12.74750246</v>
      </c>
    </row>
    <row r="54" ht="22.5" customHeight="1">
      <c r="A54" s="2">
        <v>66.0</v>
      </c>
      <c r="B54" s="2">
        <v>79.0</v>
      </c>
      <c r="C54" s="2">
        <v>201.0</v>
      </c>
      <c r="D54" s="2">
        <v>330.0</v>
      </c>
      <c r="E54" s="2">
        <f t="shared" ref="E54:F54" si="54">E53+C54</f>
        <v>5252</v>
      </c>
      <c r="F54" s="2">
        <f t="shared" si="54"/>
        <v>11541</v>
      </c>
      <c r="G54" s="19">
        <f t="shared" si="40"/>
        <v>609.0909091</v>
      </c>
      <c r="H54" s="5">
        <f t="shared" si="42"/>
        <v>31.28932422</v>
      </c>
    </row>
    <row r="55" ht="22.5" customHeight="1">
      <c r="A55" s="2">
        <v>79.0</v>
      </c>
      <c r="B55" s="2">
        <v>44.0</v>
      </c>
      <c r="C55" s="2">
        <v>366.0</v>
      </c>
      <c r="D55" s="2">
        <v>620.0</v>
      </c>
      <c r="E55" s="2">
        <f t="shared" ref="E55:F55" si="55">E54+C55</f>
        <v>5618</v>
      </c>
      <c r="F55" s="2">
        <f t="shared" si="55"/>
        <v>12161</v>
      </c>
      <c r="G55" s="19">
        <f t="shared" si="40"/>
        <v>590.3225806</v>
      </c>
      <c r="H55" s="5">
        <f t="shared" si="42"/>
        <v>-30.27149749</v>
      </c>
    </row>
    <row r="56">
      <c r="G56" s="18"/>
    </row>
    <row r="57">
      <c r="G57" s="18"/>
    </row>
    <row r="58">
      <c r="G58" s="18"/>
    </row>
    <row r="59">
      <c r="G59" s="18"/>
    </row>
    <row r="60" ht="22.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5</v>
      </c>
      <c r="F60" s="1" t="s">
        <v>18</v>
      </c>
      <c r="G60" s="18"/>
    </row>
    <row r="61" ht="22.5" customHeight="1">
      <c r="A61" s="2">
        <v>34.0</v>
      </c>
      <c r="B61" s="13" t="s">
        <v>36</v>
      </c>
      <c r="C61" s="2">
        <v>485.0</v>
      </c>
      <c r="D61" s="2">
        <v>1770.0</v>
      </c>
      <c r="E61" s="2">
        <v>274.0</v>
      </c>
      <c r="F61" s="2">
        <v>0.0</v>
      </c>
      <c r="G61" s="18"/>
    </row>
    <row r="62" ht="22.5" customHeight="1">
      <c r="A62" s="2">
        <v>66.0</v>
      </c>
      <c r="B62" s="13" t="s">
        <v>37</v>
      </c>
      <c r="C62" s="2">
        <v>201.0</v>
      </c>
      <c r="D62" s="2">
        <v>501.0</v>
      </c>
      <c r="E62" s="2">
        <v>401.0</v>
      </c>
      <c r="F62" s="2">
        <v>1770.0</v>
      </c>
      <c r="G62" s="18"/>
    </row>
    <row r="63" ht="22.5" customHeight="1">
      <c r="A63" s="2">
        <v>79.0</v>
      </c>
      <c r="B63" s="13" t="s">
        <v>10</v>
      </c>
      <c r="C63" s="2">
        <v>366.0</v>
      </c>
      <c r="D63" s="2">
        <v>809.0</v>
      </c>
      <c r="E63" s="2">
        <v>452.0</v>
      </c>
      <c r="F63" s="2">
        <v>2271.0</v>
      </c>
      <c r="G63" s="18"/>
    </row>
    <row r="64" ht="22.5" customHeight="1">
      <c r="A64" s="2">
        <v>44.0</v>
      </c>
      <c r="B64" s="13" t="s">
        <v>11</v>
      </c>
      <c r="C64" s="2">
        <v>376.0</v>
      </c>
      <c r="D64" s="2">
        <v>691.0</v>
      </c>
      <c r="E64" s="2">
        <v>544.0</v>
      </c>
      <c r="F64" s="2">
        <v>3080.0</v>
      </c>
      <c r="G64" s="18"/>
    </row>
    <row r="65" ht="22.5" customHeight="1">
      <c r="A65" s="2">
        <v>4.0</v>
      </c>
      <c r="B65" s="13" t="s">
        <v>12</v>
      </c>
      <c r="C65" s="2">
        <v>437.0</v>
      </c>
      <c r="D65" s="2">
        <v>750.0</v>
      </c>
      <c r="E65" s="2">
        <v>582.0</v>
      </c>
      <c r="F65" s="2">
        <v>3771.0</v>
      </c>
      <c r="G65" s="18"/>
    </row>
    <row r="66" ht="22.5" customHeight="1">
      <c r="A66" s="2">
        <v>32.0</v>
      </c>
      <c r="B66" s="13" t="s">
        <v>13</v>
      </c>
      <c r="C66" s="2">
        <v>376.0</v>
      </c>
      <c r="D66" s="2">
        <v>630.0</v>
      </c>
      <c r="E66" s="2">
        <v>596.0</v>
      </c>
      <c r="F66" s="2">
        <v>4521.0</v>
      </c>
      <c r="G66" s="18"/>
    </row>
    <row r="67" ht="22.5" customHeight="1">
      <c r="A67" s="2">
        <v>42.0</v>
      </c>
      <c r="B67" s="13" t="s">
        <v>38</v>
      </c>
      <c r="C67" s="2">
        <v>367.0</v>
      </c>
      <c r="D67" s="2">
        <v>620.0</v>
      </c>
      <c r="E67" s="2">
        <v>591.0</v>
      </c>
      <c r="F67" s="2">
        <v>5151.0</v>
      </c>
      <c r="G67" s="18"/>
    </row>
    <row r="68" ht="22.5" customHeight="1">
      <c r="A68" s="2">
        <v>19.0</v>
      </c>
      <c r="B68" s="13" t="s">
        <v>39</v>
      </c>
      <c r="C68" s="2">
        <v>201.0</v>
      </c>
      <c r="D68" s="2">
        <v>330.0</v>
      </c>
      <c r="E68" s="2">
        <v>609.0</v>
      </c>
      <c r="F68" s="2">
        <v>5771.0</v>
      </c>
      <c r="G68" s="18"/>
    </row>
    <row r="69" ht="22.5" customHeight="1">
      <c r="A69" s="2">
        <v>34.0</v>
      </c>
      <c r="B69" s="13" t="s">
        <v>36</v>
      </c>
      <c r="C69" s="2">
        <v>485.0</v>
      </c>
      <c r="D69" s="2">
        <v>820.0</v>
      </c>
      <c r="E69" s="2">
        <v>591.0</v>
      </c>
      <c r="F69" s="2">
        <v>6101.0</v>
      </c>
      <c r="G69" s="18"/>
    </row>
    <row r="70" ht="22.5" customHeight="1">
      <c r="A70" s="2">
        <v>66.0</v>
      </c>
      <c r="B70" s="13" t="s">
        <v>37</v>
      </c>
      <c r="C70" s="2">
        <v>201.0</v>
      </c>
      <c r="D70" s="2">
        <v>330.0</v>
      </c>
      <c r="E70" s="2">
        <v>609.0</v>
      </c>
      <c r="F70" s="2">
        <v>6921.0</v>
      </c>
      <c r="G70" s="18"/>
    </row>
    <row r="71" ht="22.5" customHeight="1">
      <c r="A71" s="2">
        <v>79.0</v>
      </c>
      <c r="B71" s="13" t="s">
        <v>10</v>
      </c>
      <c r="C71" s="2">
        <v>366.0</v>
      </c>
      <c r="D71" s="2">
        <v>620.0</v>
      </c>
      <c r="E71" s="2">
        <v>590.0</v>
      </c>
      <c r="F71" s="2">
        <v>7251.0</v>
      </c>
      <c r="G71" s="18"/>
    </row>
    <row r="72" ht="22.5" customHeight="1">
      <c r="A72" s="2">
        <v>44.0</v>
      </c>
      <c r="B72" s="13" t="s">
        <v>11</v>
      </c>
      <c r="C72" s="2">
        <v>376.0</v>
      </c>
      <c r="D72" s="2">
        <v>620.0</v>
      </c>
      <c r="E72" s="2">
        <v>606.0</v>
      </c>
      <c r="F72" s="2">
        <v>7871.0</v>
      </c>
      <c r="G72" s="18"/>
    </row>
    <row r="73" ht="22.5" customHeight="1">
      <c r="A73" s="2">
        <v>4.0</v>
      </c>
      <c r="B73" s="13" t="s">
        <v>12</v>
      </c>
      <c r="C73" s="2">
        <v>437.0</v>
      </c>
      <c r="D73" s="2">
        <v>720.0</v>
      </c>
      <c r="E73" s="2">
        <v>606.0</v>
      </c>
      <c r="F73" s="2">
        <v>8491.0</v>
      </c>
      <c r="G73" s="18"/>
    </row>
    <row r="74" ht="22.5" customHeight="1">
      <c r="A74" s="2">
        <v>32.0</v>
      </c>
      <c r="B74" s="13" t="s">
        <v>13</v>
      </c>
      <c r="C74" s="2">
        <v>376.0</v>
      </c>
      <c r="D74" s="2">
        <v>620.0</v>
      </c>
      <c r="E74" s="2">
        <v>606.0</v>
      </c>
      <c r="F74" s="2">
        <v>9211.0</v>
      </c>
      <c r="G74" s="18"/>
    </row>
    <row r="75" ht="22.5" customHeight="1">
      <c r="A75" s="2">
        <v>42.0</v>
      </c>
      <c r="B75" s="13" t="s">
        <v>38</v>
      </c>
      <c r="C75" s="2">
        <v>367.0</v>
      </c>
      <c r="D75" s="2">
        <v>610.0</v>
      </c>
      <c r="E75" s="2">
        <v>601.0</v>
      </c>
      <c r="F75" s="2">
        <v>9831.0</v>
      </c>
      <c r="G75" s="18"/>
    </row>
    <row r="76" ht="22.5" customHeight="1">
      <c r="A76" s="2">
        <v>19.0</v>
      </c>
      <c r="B76" s="13" t="s">
        <v>39</v>
      </c>
      <c r="C76" s="2">
        <v>201.0</v>
      </c>
      <c r="D76" s="2">
        <v>330.0</v>
      </c>
      <c r="E76" s="2">
        <v>609.0</v>
      </c>
      <c r="F76" s="2">
        <v>10441.0</v>
      </c>
      <c r="G76" s="18"/>
    </row>
    <row r="77" ht="22.5" customHeight="1">
      <c r="A77" s="2">
        <v>34.0</v>
      </c>
      <c r="B77" s="13" t="s">
        <v>36</v>
      </c>
      <c r="C77" s="2">
        <v>485.0</v>
      </c>
      <c r="D77" s="2">
        <v>810.0</v>
      </c>
      <c r="E77" s="2">
        <v>598.0</v>
      </c>
      <c r="F77" s="2">
        <v>10771.0</v>
      </c>
      <c r="G77" s="18"/>
    </row>
    <row r="78" ht="22.5" customHeight="1">
      <c r="A78" s="2">
        <v>66.0</v>
      </c>
      <c r="B78" s="13" t="s">
        <v>37</v>
      </c>
      <c r="C78" s="2">
        <v>201.0</v>
      </c>
      <c r="D78" s="2">
        <v>330.0</v>
      </c>
      <c r="E78" s="2">
        <v>609.0</v>
      </c>
      <c r="F78" s="2">
        <v>11581.0</v>
      </c>
      <c r="G78" s="18"/>
    </row>
    <row r="79" ht="22.5" customHeight="1">
      <c r="A79" s="2">
        <v>79.0</v>
      </c>
      <c r="B79" s="13" t="s">
        <v>10</v>
      </c>
      <c r="C79" s="2">
        <v>366.0</v>
      </c>
      <c r="D79" s="2">
        <v>610.0</v>
      </c>
      <c r="E79" s="2">
        <v>600.0</v>
      </c>
      <c r="F79" s="2">
        <v>11911.0</v>
      </c>
      <c r="G79" s="18"/>
    </row>
    <row r="80" ht="22.5" customHeight="1">
      <c r="A80" s="2">
        <v>44.0</v>
      </c>
      <c r="B80" s="13" t="s">
        <v>11</v>
      </c>
      <c r="C80" s="2">
        <v>376.0</v>
      </c>
      <c r="D80" s="2">
        <v>650.0</v>
      </c>
      <c r="E80" s="2">
        <v>578.0</v>
      </c>
      <c r="F80" s="2">
        <v>12521.0</v>
      </c>
      <c r="G80" s="18"/>
    </row>
    <row r="81" ht="22.5" customHeight="1">
      <c r="A81" s="2">
        <v>4.0</v>
      </c>
      <c r="B81" s="13" t="s">
        <v>12</v>
      </c>
      <c r="C81" s="2">
        <v>437.0</v>
      </c>
      <c r="D81" s="2">
        <v>920.0</v>
      </c>
      <c r="E81" s="2">
        <v>475.0</v>
      </c>
      <c r="F81" s="2">
        <v>13171.0</v>
      </c>
      <c r="G81" s="18"/>
    </row>
    <row r="82" ht="22.5" customHeight="1">
      <c r="A82" s="2">
        <v>32.0</v>
      </c>
      <c r="B82" s="13" t="s">
        <v>13</v>
      </c>
      <c r="C82" s="2">
        <v>376.0</v>
      </c>
      <c r="D82" s="2">
        <v>1131.0</v>
      </c>
      <c r="E82" s="2">
        <v>332.0</v>
      </c>
      <c r="F82" s="2">
        <v>14091.0</v>
      </c>
      <c r="G82" s="18"/>
    </row>
    <row r="83" ht="22.5" customHeight="1">
      <c r="A83" s="2">
        <v>42.0</v>
      </c>
      <c r="B83" s="13" t="s">
        <v>38</v>
      </c>
      <c r="C83" s="2">
        <v>367.0</v>
      </c>
      <c r="D83" s="2">
        <v>2230.0</v>
      </c>
      <c r="E83" s="2">
        <v>164.0</v>
      </c>
      <c r="F83" s="2">
        <v>15222.0</v>
      </c>
      <c r="G83" s="18"/>
    </row>
    <row r="84" ht="22.5" customHeight="1">
      <c r="A84" s="2">
        <v>19.0</v>
      </c>
      <c r="B84" s="13" t="s">
        <v>39</v>
      </c>
      <c r="C84" s="2">
        <v>201.0</v>
      </c>
      <c r="D84" s="2">
        <v>2070.0</v>
      </c>
      <c r="E84" s="2">
        <v>97.0</v>
      </c>
      <c r="F84" s="2">
        <v>17452.0</v>
      </c>
      <c r="G84" s="18"/>
    </row>
    <row r="85" ht="22.5" customHeight="1">
      <c r="A85" s="2">
        <v>34.0</v>
      </c>
      <c r="B85" s="13" t="s">
        <v>36</v>
      </c>
      <c r="C85" s="2">
        <v>485.0</v>
      </c>
      <c r="D85" s="2">
        <v>5760.0</v>
      </c>
      <c r="E85" s="2">
        <v>84.0</v>
      </c>
      <c r="F85" s="2">
        <v>19522.0</v>
      </c>
      <c r="G85" s="18"/>
    </row>
    <row r="86" ht="22.5" customHeight="1">
      <c r="A86" s="2">
        <v>66.0</v>
      </c>
      <c r="B86" s="13" t="s">
        <v>37</v>
      </c>
      <c r="C86" s="2">
        <v>201.0</v>
      </c>
      <c r="D86" s="2">
        <v>2431.0</v>
      </c>
      <c r="E86" s="2">
        <v>82.0</v>
      </c>
      <c r="F86" s="2">
        <v>25282.0</v>
      </c>
      <c r="G86" s="18"/>
    </row>
    <row r="87" ht="22.5" customHeight="1">
      <c r="A87" s="2">
        <v>79.0</v>
      </c>
      <c r="B87" s="13" t="s">
        <v>10</v>
      </c>
      <c r="C87" s="2">
        <v>366.0</v>
      </c>
      <c r="D87" s="2">
        <v>4600.0</v>
      </c>
      <c r="E87" s="2">
        <v>79.0</v>
      </c>
      <c r="F87" s="2">
        <v>27713.0</v>
      </c>
      <c r="G87" s="18"/>
    </row>
    <row r="88" ht="22.5" customHeight="1">
      <c r="A88" s="2">
        <v>44.0</v>
      </c>
      <c r="B88" s="13" t="s">
        <v>11</v>
      </c>
      <c r="C88" s="2">
        <v>376.0</v>
      </c>
      <c r="D88" s="2">
        <v>4580.0</v>
      </c>
      <c r="E88" s="2">
        <v>82.0</v>
      </c>
      <c r="F88" s="2">
        <v>32313.0</v>
      </c>
      <c r="G88" s="18"/>
    </row>
    <row r="89" ht="22.5" customHeight="1">
      <c r="A89" s="2">
        <v>4.0</v>
      </c>
      <c r="B89" s="13" t="s">
        <v>12</v>
      </c>
      <c r="C89" s="2">
        <v>437.0</v>
      </c>
      <c r="D89" s="2">
        <v>5411.0</v>
      </c>
      <c r="E89" s="2">
        <v>80.0</v>
      </c>
      <c r="F89" s="2">
        <v>36893.0</v>
      </c>
      <c r="G89" s="18"/>
    </row>
    <row r="90" ht="22.5" customHeight="1">
      <c r="A90" s="2">
        <v>32.0</v>
      </c>
      <c r="B90" s="13" t="s">
        <v>13</v>
      </c>
      <c r="C90" s="2">
        <v>376.0</v>
      </c>
      <c r="D90" s="2">
        <v>4660.0</v>
      </c>
      <c r="E90" s="2">
        <v>80.0</v>
      </c>
      <c r="F90" s="2">
        <v>42304.0</v>
      </c>
      <c r="G90" s="18"/>
    </row>
    <row r="91" ht="22.5" customHeight="1">
      <c r="A91" s="2">
        <v>42.0</v>
      </c>
      <c r="B91" s="13" t="s">
        <v>38</v>
      </c>
      <c r="C91" s="2">
        <v>367.0</v>
      </c>
      <c r="D91" s="2">
        <v>4581.0</v>
      </c>
      <c r="E91" s="2">
        <v>80.0</v>
      </c>
      <c r="F91" s="2">
        <v>46964.0</v>
      </c>
      <c r="G91" s="18"/>
    </row>
    <row r="92" ht="22.5" customHeight="1">
      <c r="A92" s="2">
        <v>19.0</v>
      </c>
      <c r="B92" s="13" t="s">
        <v>39</v>
      </c>
      <c r="C92" s="2">
        <v>201.0</v>
      </c>
      <c r="D92" s="2">
        <v>2500.0</v>
      </c>
      <c r="E92" s="2">
        <v>80.0</v>
      </c>
      <c r="F92" s="2">
        <v>51545.0</v>
      </c>
      <c r="G92" s="18"/>
    </row>
    <row r="93" ht="22.5" customHeight="1">
      <c r="A93" s="2">
        <v>34.0</v>
      </c>
      <c r="B93" s="13" t="s">
        <v>36</v>
      </c>
      <c r="C93" s="2">
        <v>485.0</v>
      </c>
      <c r="D93" s="2">
        <v>6020.0</v>
      </c>
      <c r="E93" s="2">
        <v>80.0</v>
      </c>
      <c r="F93" s="2">
        <v>54045.0</v>
      </c>
      <c r="G93" s="18"/>
    </row>
    <row r="94" ht="22.5" customHeight="1">
      <c r="A94" s="2">
        <v>66.0</v>
      </c>
      <c r="B94" s="13" t="s">
        <v>37</v>
      </c>
      <c r="C94" s="2">
        <v>201.0</v>
      </c>
      <c r="D94" s="2">
        <v>2451.0</v>
      </c>
      <c r="E94" s="2">
        <v>82.0</v>
      </c>
      <c r="F94" s="2">
        <v>60065.0</v>
      </c>
      <c r="G94" s="18"/>
    </row>
    <row r="95" ht="22.5" customHeight="1">
      <c r="A95" s="2">
        <v>79.0</v>
      </c>
      <c r="B95" s="13" t="s">
        <v>10</v>
      </c>
      <c r="C95" s="2">
        <v>366.0</v>
      </c>
      <c r="D95" s="2">
        <v>4580.0</v>
      </c>
      <c r="E95" s="2">
        <v>79.0</v>
      </c>
      <c r="F95" s="2">
        <v>62516.0</v>
      </c>
      <c r="G95" s="18"/>
    </row>
    <row r="96" ht="22.5" customHeight="1">
      <c r="A96" s="2">
        <v>44.0</v>
      </c>
      <c r="B96" s="13" t="s">
        <v>11</v>
      </c>
      <c r="C96" s="2">
        <v>376.0</v>
      </c>
      <c r="D96" s="2">
        <v>2430.0</v>
      </c>
      <c r="E96" s="2">
        <v>154.0</v>
      </c>
      <c r="F96" s="2">
        <v>67096.0</v>
      </c>
      <c r="G96" s="18"/>
    </row>
    <row r="97" ht="22.5" customHeight="1">
      <c r="A97" s="2">
        <v>4.0</v>
      </c>
      <c r="B97" s="13" t="s">
        <v>12</v>
      </c>
      <c r="C97" s="2">
        <v>437.0</v>
      </c>
      <c r="D97" s="2">
        <v>1360.0</v>
      </c>
      <c r="E97" s="2">
        <v>321.0</v>
      </c>
      <c r="F97" s="2">
        <v>69526.0</v>
      </c>
      <c r="G97" s="18"/>
    </row>
    <row r="98" ht="22.5" customHeight="1">
      <c r="A98" s="2">
        <v>32.0</v>
      </c>
      <c r="B98" s="13" t="s">
        <v>13</v>
      </c>
      <c r="C98" s="2">
        <v>376.0</v>
      </c>
      <c r="D98" s="2">
        <v>840.0</v>
      </c>
      <c r="E98" s="2">
        <v>447.0</v>
      </c>
      <c r="F98" s="2">
        <v>70886.0</v>
      </c>
      <c r="G98" s="18"/>
    </row>
    <row r="99" ht="22.5" customHeight="1">
      <c r="A99" s="2">
        <v>42.0</v>
      </c>
      <c r="B99" s="13" t="s">
        <v>38</v>
      </c>
      <c r="C99" s="2">
        <v>367.0</v>
      </c>
      <c r="D99" s="2">
        <v>710.0</v>
      </c>
      <c r="E99" s="2">
        <v>516.0</v>
      </c>
      <c r="F99" s="2">
        <v>71726.0</v>
      </c>
      <c r="G99" s="18"/>
    </row>
    <row r="100" ht="22.5" customHeight="1">
      <c r="A100" s="2">
        <v>19.0</v>
      </c>
      <c r="B100" s="13" t="s">
        <v>39</v>
      </c>
      <c r="C100" s="2">
        <v>201.0</v>
      </c>
      <c r="D100" s="2">
        <v>351.0</v>
      </c>
      <c r="E100" s="2">
        <v>572.0</v>
      </c>
      <c r="F100" s="2">
        <v>72436.0</v>
      </c>
      <c r="G100" s="18"/>
    </row>
    <row r="101" ht="22.5" customHeight="1">
      <c r="A101" s="2">
        <v>34.0</v>
      </c>
      <c r="B101" s="13" t="s">
        <v>36</v>
      </c>
      <c r="C101" s="2">
        <v>485.0</v>
      </c>
      <c r="D101" s="2">
        <v>830.0</v>
      </c>
      <c r="E101" s="2">
        <v>584.0</v>
      </c>
      <c r="F101" s="2">
        <v>72787.0</v>
      </c>
      <c r="G101" s="18"/>
    </row>
    <row r="102" ht="22.5" customHeight="1">
      <c r="A102" s="2">
        <v>66.0</v>
      </c>
      <c r="B102" s="13" t="s">
        <v>37</v>
      </c>
      <c r="C102" s="2">
        <v>201.0</v>
      </c>
      <c r="D102" s="2">
        <v>340.0</v>
      </c>
      <c r="E102" s="2">
        <v>591.0</v>
      </c>
      <c r="F102" s="2">
        <v>73617.0</v>
      </c>
      <c r="G102" s="18"/>
    </row>
    <row r="103" ht="22.5" customHeight="1">
      <c r="A103" s="2">
        <v>79.0</v>
      </c>
      <c r="B103" s="13" t="s">
        <v>10</v>
      </c>
      <c r="C103" s="2">
        <v>366.0</v>
      </c>
      <c r="D103" s="2">
        <v>620.0</v>
      </c>
      <c r="E103" s="2">
        <v>590.0</v>
      </c>
      <c r="F103" s="2">
        <v>73957.0</v>
      </c>
      <c r="G103" s="18"/>
    </row>
    <row r="104" ht="22.5" customHeight="1">
      <c r="A104" s="2">
        <v>44.0</v>
      </c>
      <c r="B104" s="13" t="s">
        <v>11</v>
      </c>
      <c r="C104" s="2">
        <v>376.0</v>
      </c>
      <c r="D104" s="2">
        <v>630.0</v>
      </c>
      <c r="E104" s="2">
        <v>596.0</v>
      </c>
      <c r="F104" s="2">
        <v>74577.0</v>
      </c>
      <c r="G104" s="18"/>
    </row>
    <row r="105" ht="22.5" customHeight="1">
      <c r="A105" s="2">
        <v>4.0</v>
      </c>
      <c r="B105" s="13" t="s">
        <v>12</v>
      </c>
      <c r="C105" s="2">
        <v>437.0</v>
      </c>
      <c r="D105" s="2">
        <v>720.0</v>
      </c>
      <c r="E105" s="2">
        <v>606.0</v>
      </c>
      <c r="F105" s="2">
        <v>75207.0</v>
      </c>
      <c r="G105" s="18"/>
    </row>
    <row r="106" ht="22.5" customHeight="1">
      <c r="A106" s="2">
        <v>32.0</v>
      </c>
      <c r="B106" s="13" t="s">
        <v>13</v>
      </c>
      <c r="C106" s="2">
        <v>376.0</v>
      </c>
      <c r="D106" s="2">
        <v>630.0</v>
      </c>
      <c r="E106" s="2">
        <v>596.0</v>
      </c>
      <c r="F106" s="2">
        <v>75927.0</v>
      </c>
      <c r="G106" s="18"/>
    </row>
    <row r="107" ht="22.5" customHeight="1">
      <c r="A107" s="2">
        <v>42.0</v>
      </c>
      <c r="B107" s="13" t="s">
        <v>38</v>
      </c>
      <c r="C107" s="2">
        <v>367.0</v>
      </c>
      <c r="D107" s="2">
        <v>610.0</v>
      </c>
      <c r="E107" s="2">
        <v>601.0</v>
      </c>
      <c r="F107" s="2">
        <v>76557.0</v>
      </c>
      <c r="G107" s="18"/>
    </row>
    <row r="108" ht="22.5" customHeight="1">
      <c r="A108" s="2">
        <v>19.0</v>
      </c>
      <c r="B108" s="13" t="s">
        <v>39</v>
      </c>
      <c r="C108" s="2">
        <v>201.0</v>
      </c>
      <c r="D108" s="2">
        <v>330.0</v>
      </c>
      <c r="E108" s="2">
        <v>609.0</v>
      </c>
      <c r="F108" s="2">
        <v>77167.0</v>
      </c>
      <c r="G108" s="18"/>
    </row>
    <row r="109" ht="22.5" customHeight="1">
      <c r="A109" s="2">
        <v>34.0</v>
      </c>
      <c r="B109" s="13" t="s">
        <v>36</v>
      </c>
      <c r="C109" s="2">
        <v>485.0</v>
      </c>
      <c r="D109" s="2">
        <v>810.0</v>
      </c>
      <c r="E109" s="2">
        <v>598.0</v>
      </c>
      <c r="F109" s="2">
        <v>77497.0</v>
      </c>
      <c r="G109" s="18"/>
    </row>
    <row r="110" ht="22.5" customHeight="1">
      <c r="A110" s="2">
        <v>66.0</v>
      </c>
      <c r="B110" s="13" t="s">
        <v>37</v>
      </c>
      <c r="C110" s="2">
        <v>201.0</v>
      </c>
      <c r="D110" s="2">
        <v>330.0</v>
      </c>
      <c r="E110" s="2">
        <v>609.0</v>
      </c>
      <c r="F110" s="2">
        <v>78307.0</v>
      </c>
      <c r="G110" s="18"/>
    </row>
    <row r="111" ht="22.5" customHeight="1">
      <c r="A111" s="2">
        <v>79.0</v>
      </c>
      <c r="B111" s="13" t="s">
        <v>10</v>
      </c>
      <c r="C111" s="2">
        <v>366.0</v>
      </c>
      <c r="D111" s="2">
        <v>620.0</v>
      </c>
      <c r="E111" s="2">
        <v>590.0</v>
      </c>
      <c r="F111" s="2">
        <v>78637.0</v>
      </c>
      <c r="G111" s="18"/>
    </row>
    <row r="112">
      <c r="G112" s="18"/>
    </row>
    <row r="113">
      <c r="G113" s="18"/>
    </row>
    <row r="114">
      <c r="G114" s="18"/>
    </row>
    <row r="115">
      <c r="G115" s="18"/>
    </row>
    <row r="116">
      <c r="G116" s="18"/>
    </row>
    <row r="117">
      <c r="G117" s="18"/>
    </row>
    <row r="118">
      <c r="G118" s="18"/>
    </row>
    <row r="119">
      <c r="G119" s="18"/>
    </row>
    <row r="152">
      <c r="G152" s="18"/>
    </row>
    <row r="153">
      <c r="G153" s="18"/>
    </row>
    <row r="154">
      <c r="G154" s="18"/>
    </row>
    <row r="155">
      <c r="G155" s="18"/>
    </row>
    <row r="156">
      <c r="G156" s="18"/>
    </row>
    <row r="157">
      <c r="G157" s="18"/>
    </row>
    <row r="158">
      <c r="G158" s="18"/>
    </row>
    <row r="159">
      <c r="G159" s="18"/>
    </row>
    <row r="160">
      <c r="G160" s="18"/>
    </row>
    <row r="161">
      <c r="G161" s="18"/>
    </row>
    <row r="162">
      <c r="G162" s="18"/>
    </row>
    <row r="163">
      <c r="G163" s="18"/>
    </row>
    <row r="164">
      <c r="G164" s="18"/>
    </row>
    <row r="165">
      <c r="G165" s="18"/>
    </row>
    <row r="166">
      <c r="G166" s="18"/>
    </row>
    <row r="167">
      <c r="G167" s="18"/>
    </row>
    <row r="168">
      <c r="G168" s="18"/>
    </row>
    <row r="169">
      <c r="G169" s="18"/>
    </row>
    <row r="170">
      <c r="G170" s="18"/>
    </row>
    <row r="171">
      <c r="G171" s="18"/>
    </row>
    <row r="172">
      <c r="G172" s="18"/>
    </row>
    <row r="173">
      <c r="G173" s="18"/>
    </row>
    <row r="174">
      <c r="G174" s="18"/>
    </row>
    <row r="175">
      <c r="G175" s="18"/>
    </row>
    <row r="176">
      <c r="G176" s="18"/>
    </row>
    <row r="177">
      <c r="G177" s="18"/>
    </row>
    <row r="178">
      <c r="G178" s="18"/>
    </row>
    <row r="179">
      <c r="G179" s="18"/>
    </row>
    <row r="180">
      <c r="G180" s="18"/>
    </row>
    <row r="181">
      <c r="G181" s="18"/>
    </row>
    <row r="182">
      <c r="G182" s="18"/>
    </row>
    <row r="183">
      <c r="G183" s="18"/>
    </row>
    <row r="184">
      <c r="G184" s="18"/>
    </row>
    <row r="185">
      <c r="G185" s="18"/>
    </row>
    <row r="186">
      <c r="G186" s="18"/>
    </row>
    <row r="187">
      <c r="G187" s="18"/>
    </row>
    <row r="188">
      <c r="G188" s="18"/>
    </row>
    <row r="189">
      <c r="G189" s="18"/>
    </row>
    <row r="190">
      <c r="G190" s="18"/>
    </row>
    <row r="191">
      <c r="G191" s="18"/>
    </row>
    <row r="192">
      <c r="G192" s="18"/>
    </row>
    <row r="193">
      <c r="G193" s="18"/>
    </row>
    <row r="194">
      <c r="G194" s="18"/>
    </row>
    <row r="195">
      <c r="G195" s="18"/>
    </row>
    <row r="196">
      <c r="G196" s="18"/>
    </row>
    <row r="197">
      <c r="G197" s="18"/>
    </row>
    <row r="198">
      <c r="G198" s="18"/>
    </row>
    <row r="199">
      <c r="G199" s="18"/>
    </row>
    <row r="200">
      <c r="G200" s="18"/>
    </row>
    <row r="201">
      <c r="G201" s="18"/>
    </row>
    <row r="202">
      <c r="G202" s="18"/>
    </row>
    <row r="203">
      <c r="G203" s="18"/>
    </row>
    <row r="204">
      <c r="G204" s="18"/>
    </row>
    <row r="205">
      <c r="G205" s="18"/>
    </row>
    <row r="206">
      <c r="G206" s="18"/>
    </row>
    <row r="207">
      <c r="G207" s="18"/>
    </row>
    <row r="208">
      <c r="G208" s="18"/>
    </row>
    <row r="209">
      <c r="G209" s="18"/>
    </row>
    <row r="210">
      <c r="G210" s="18"/>
    </row>
    <row r="211">
      <c r="G211" s="18"/>
    </row>
    <row r="212">
      <c r="G212" s="18"/>
    </row>
    <row r="213">
      <c r="G213" s="18"/>
    </row>
    <row r="214">
      <c r="G214" s="18"/>
    </row>
    <row r="215">
      <c r="G215" s="18"/>
    </row>
    <row r="216">
      <c r="G216" s="18"/>
    </row>
    <row r="217">
      <c r="G217" s="18"/>
    </row>
    <row r="218">
      <c r="G218" s="18"/>
    </row>
    <row r="219">
      <c r="G219" s="18"/>
    </row>
    <row r="220">
      <c r="G220" s="18"/>
    </row>
    <row r="221">
      <c r="G221" s="18"/>
    </row>
    <row r="222">
      <c r="G222" s="18"/>
    </row>
    <row r="223">
      <c r="G223" s="18"/>
    </row>
    <row r="224">
      <c r="G224" s="18"/>
    </row>
    <row r="225">
      <c r="G225" s="18"/>
    </row>
    <row r="226">
      <c r="G226" s="18"/>
    </row>
    <row r="227">
      <c r="G227" s="18"/>
    </row>
    <row r="228">
      <c r="G228" s="18"/>
    </row>
    <row r="229">
      <c r="G229" s="18"/>
    </row>
    <row r="230">
      <c r="G230" s="18"/>
    </row>
    <row r="231">
      <c r="G231" s="18"/>
    </row>
    <row r="232">
      <c r="G232" s="18"/>
    </row>
    <row r="233">
      <c r="G233" s="18"/>
    </row>
    <row r="234">
      <c r="G234" s="18"/>
    </row>
    <row r="235">
      <c r="G235" s="18"/>
    </row>
    <row r="236">
      <c r="G236" s="18"/>
    </row>
    <row r="237">
      <c r="G237" s="18"/>
    </row>
    <row r="238">
      <c r="G238" s="18"/>
    </row>
    <row r="239">
      <c r="G239" s="18"/>
    </row>
    <row r="240">
      <c r="G240" s="18"/>
    </row>
    <row r="241">
      <c r="G241" s="18"/>
    </row>
    <row r="242">
      <c r="G242" s="18"/>
    </row>
    <row r="243">
      <c r="G243" s="18"/>
    </row>
    <row r="244">
      <c r="G244" s="18"/>
    </row>
    <row r="245">
      <c r="G245" s="18"/>
    </row>
    <row r="246">
      <c r="G246" s="18"/>
    </row>
    <row r="247">
      <c r="G247" s="18"/>
    </row>
    <row r="248">
      <c r="G248" s="18"/>
    </row>
    <row r="249">
      <c r="G249" s="18"/>
    </row>
    <row r="250">
      <c r="G250" s="18"/>
    </row>
    <row r="251">
      <c r="G251" s="18"/>
    </row>
    <row r="252">
      <c r="G252" s="18"/>
    </row>
    <row r="253">
      <c r="G253" s="18"/>
    </row>
    <row r="254">
      <c r="G254" s="18"/>
    </row>
    <row r="255">
      <c r="G255" s="18"/>
    </row>
    <row r="256">
      <c r="G256" s="18"/>
    </row>
    <row r="257">
      <c r="G257" s="18"/>
    </row>
    <row r="258">
      <c r="G258" s="18"/>
    </row>
    <row r="259">
      <c r="G259" s="18"/>
    </row>
    <row r="260">
      <c r="G260" s="18"/>
    </row>
    <row r="261">
      <c r="G261" s="18"/>
    </row>
    <row r="262">
      <c r="G262" s="18"/>
    </row>
    <row r="263">
      <c r="G263" s="18"/>
    </row>
    <row r="264">
      <c r="G264" s="18"/>
    </row>
    <row r="265">
      <c r="G265" s="18"/>
    </row>
    <row r="266">
      <c r="G266" s="18"/>
    </row>
    <row r="267">
      <c r="G267" s="18"/>
    </row>
    <row r="268">
      <c r="G268" s="18"/>
    </row>
    <row r="269">
      <c r="G269" s="18"/>
    </row>
    <row r="270">
      <c r="G270" s="18"/>
    </row>
    <row r="271">
      <c r="G271" s="18"/>
    </row>
    <row r="272">
      <c r="G272" s="18"/>
    </row>
    <row r="273">
      <c r="G273" s="18"/>
    </row>
    <row r="274">
      <c r="G274" s="18"/>
    </row>
    <row r="275">
      <c r="G275" s="18"/>
    </row>
    <row r="276">
      <c r="G276" s="18"/>
    </row>
    <row r="277">
      <c r="G277" s="18"/>
    </row>
    <row r="278">
      <c r="G278" s="18"/>
    </row>
    <row r="279">
      <c r="G279" s="18"/>
    </row>
    <row r="280">
      <c r="G280" s="18"/>
    </row>
    <row r="281">
      <c r="G281" s="18"/>
    </row>
    <row r="282">
      <c r="G282" s="18"/>
    </row>
    <row r="283">
      <c r="G283" s="18"/>
    </row>
    <row r="284">
      <c r="G284" s="18"/>
    </row>
    <row r="285">
      <c r="G285" s="18"/>
    </row>
    <row r="286">
      <c r="G286" s="18"/>
    </row>
    <row r="287">
      <c r="G287" s="18"/>
    </row>
    <row r="288">
      <c r="G288" s="18"/>
    </row>
    <row r="289">
      <c r="G289" s="18"/>
    </row>
    <row r="290">
      <c r="G290" s="18"/>
    </row>
    <row r="291">
      <c r="G291" s="18"/>
    </row>
    <row r="292">
      <c r="G292" s="18"/>
    </row>
    <row r="293">
      <c r="G293" s="18"/>
    </row>
    <row r="294">
      <c r="G294" s="18"/>
    </row>
    <row r="295">
      <c r="G295" s="18"/>
    </row>
    <row r="296">
      <c r="G296" s="18"/>
    </row>
    <row r="297">
      <c r="G297" s="18"/>
    </row>
    <row r="298">
      <c r="G298" s="18"/>
    </row>
    <row r="299">
      <c r="G299" s="18"/>
    </row>
    <row r="300">
      <c r="G300" s="18"/>
    </row>
    <row r="301">
      <c r="G301" s="18"/>
    </row>
    <row r="302">
      <c r="G302" s="18"/>
    </row>
    <row r="303">
      <c r="G303" s="18"/>
    </row>
    <row r="304">
      <c r="G304" s="18"/>
    </row>
    <row r="305">
      <c r="G305" s="18"/>
    </row>
    <row r="306">
      <c r="G306" s="18"/>
    </row>
    <row r="307">
      <c r="G307" s="18"/>
    </row>
    <row r="308">
      <c r="G308" s="18"/>
    </row>
    <row r="309">
      <c r="G309" s="18"/>
    </row>
    <row r="310">
      <c r="G310" s="18"/>
    </row>
    <row r="311">
      <c r="G311" s="18"/>
    </row>
    <row r="312">
      <c r="G312" s="18"/>
    </row>
    <row r="313">
      <c r="G313" s="18"/>
    </row>
    <row r="314">
      <c r="G314" s="18"/>
    </row>
    <row r="315">
      <c r="G315" s="18"/>
    </row>
    <row r="316">
      <c r="G316" s="18"/>
    </row>
    <row r="317">
      <c r="G317" s="18"/>
    </row>
    <row r="318">
      <c r="G318" s="18"/>
    </row>
    <row r="319">
      <c r="G319" s="18"/>
    </row>
    <row r="320">
      <c r="G320" s="18"/>
    </row>
    <row r="321">
      <c r="G321" s="18"/>
    </row>
    <row r="322">
      <c r="G322" s="18"/>
    </row>
    <row r="323">
      <c r="G323" s="18"/>
    </row>
    <row r="324">
      <c r="G324" s="18"/>
    </row>
    <row r="325">
      <c r="G325" s="18"/>
    </row>
    <row r="326">
      <c r="G326" s="18"/>
    </row>
    <row r="327">
      <c r="G327" s="18"/>
    </row>
    <row r="328">
      <c r="G328" s="18"/>
    </row>
    <row r="329">
      <c r="G329" s="18"/>
    </row>
    <row r="330">
      <c r="G330" s="18"/>
    </row>
    <row r="331">
      <c r="G331" s="18"/>
    </row>
    <row r="332">
      <c r="G332" s="18"/>
    </row>
    <row r="333">
      <c r="G333" s="18"/>
    </row>
    <row r="334">
      <c r="G334" s="18"/>
    </row>
    <row r="335">
      <c r="G335" s="18"/>
    </row>
    <row r="336">
      <c r="G336" s="18"/>
    </row>
    <row r="337">
      <c r="G337" s="18"/>
    </row>
    <row r="338">
      <c r="G338" s="18"/>
    </row>
    <row r="339">
      <c r="G339" s="18"/>
    </row>
    <row r="340">
      <c r="G340" s="18"/>
    </row>
    <row r="341">
      <c r="G341" s="18"/>
    </row>
    <row r="342">
      <c r="G342" s="18"/>
    </row>
    <row r="343">
      <c r="G343" s="18"/>
    </row>
    <row r="344">
      <c r="G344" s="18"/>
    </row>
    <row r="345">
      <c r="G345" s="18"/>
    </row>
    <row r="346">
      <c r="G346" s="18"/>
    </row>
    <row r="347">
      <c r="G347" s="18"/>
    </row>
    <row r="348">
      <c r="G348" s="18"/>
    </row>
    <row r="349">
      <c r="G349" s="18"/>
    </row>
    <row r="350">
      <c r="G350" s="18"/>
    </row>
    <row r="351">
      <c r="G351" s="18"/>
    </row>
    <row r="352">
      <c r="G352" s="18"/>
    </row>
    <row r="353">
      <c r="G353" s="18"/>
    </row>
    <row r="354">
      <c r="G354" s="18"/>
    </row>
    <row r="355">
      <c r="G355" s="18"/>
    </row>
    <row r="356">
      <c r="G356" s="18"/>
    </row>
    <row r="357">
      <c r="G357" s="18"/>
    </row>
    <row r="358">
      <c r="G358" s="18"/>
    </row>
    <row r="359">
      <c r="G359" s="18"/>
    </row>
    <row r="360">
      <c r="G360" s="18"/>
    </row>
    <row r="361">
      <c r="G361" s="18"/>
    </row>
    <row r="362">
      <c r="G362" s="18"/>
    </row>
    <row r="363">
      <c r="G363" s="18"/>
    </row>
    <row r="364">
      <c r="G364" s="18"/>
    </row>
    <row r="365">
      <c r="G365" s="18"/>
    </row>
    <row r="366">
      <c r="G366" s="18"/>
    </row>
    <row r="367">
      <c r="G367" s="18"/>
    </row>
    <row r="368">
      <c r="G368" s="18"/>
    </row>
    <row r="369">
      <c r="G369" s="18"/>
    </row>
    <row r="370">
      <c r="G370" s="18"/>
    </row>
    <row r="371">
      <c r="G371" s="18"/>
    </row>
    <row r="372">
      <c r="G372" s="18"/>
    </row>
    <row r="373">
      <c r="G373" s="18"/>
    </row>
    <row r="374">
      <c r="G374" s="18"/>
    </row>
    <row r="375">
      <c r="G375" s="18"/>
    </row>
    <row r="376">
      <c r="G376" s="18"/>
    </row>
    <row r="377">
      <c r="G377" s="18"/>
    </row>
    <row r="378">
      <c r="G378" s="18"/>
    </row>
    <row r="379">
      <c r="G379" s="18"/>
    </row>
    <row r="380">
      <c r="G380" s="18"/>
    </row>
    <row r="381">
      <c r="G381" s="18"/>
    </row>
    <row r="382">
      <c r="G382" s="18"/>
    </row>
    <row r="383">
      <c r="G383" s="18"/>
    </row>
    <row r="384">
      <c r="G384" s="18"/>
    </row>
    <row r="385">
      <c r="G385" s="18"/>
    </row>
    <row r="386">
      <c r="G386" s="18"/>
    </row>
    <row r="387">
      <c r="G387" s="18"/>
    </row>
    <row r="388">
      <c r="G388" s="18"/>
    </row>
    <row r="389">
      <c r="G389" s="18"/>
    </row>
    <row r="390">
      <c r="G390" s="18"/>
    </row>
    <row r="391">
      <c r="G391" s="18"/>
    </row>
    <row r="392">
      <c r="G392" s="18"/>
    </row>
    <row r="393">
      <c r="G393" s="18"/>
    </row>
    <row r="394">
      <c r="G394" s="18"/>
    </row>
    <row r="395">
      <c r="G395" s="18"/>
    </row>
    <row r="396">
      <c r="G396" s="18"/>
    </row>
    <row r="397">
      <c r="G397" s="18"/>
    </row>
    <row r="398">
      <c r="G398" s="18"/>
    </row>
    <row r="399">
      <c r="G399" s="18"/>
    </row>
    <row r="400">
      <c r="G400" s="18"/>
    </row>
    <row r="401">
      <c r="G401" s="18"/>
    </row>
    <row r="402">
      <c r="G402" s="18"/>
    </row>
    <row r="403">
      <c r="G403" s="18"/>
    </row>
    <row r="404">
      <c r="G404" s="18"/>
    </row>
    <row r="405">
      <c r="G405" s="18"/>
    </row>
    <row r="406">
      <c r="G406" s="18"/>
    </row>
    <row r="407">
      <c r="G407" s="18"/>
    </row>
    <row r="408">
      <c r="G408" s="18"/>
    </row>
    <row r="409">
      <c r="G409" s="18"/>
    </row>
    <row r="410">
      <c r="G410" s="18"/>
    </row>
    <row r="411">
      <c r="G411" s="18"/>
    </row>
    <row r="412">
      <c r="G412" s="18"/>
    </row>
    <row r="413">
      <c r="G413" s="18"/>
    </row>
    <row r="414">
      <c r="G414" s="18"/>
    </row>
    <row r="415">
      <c r="G415" s="18"/>
    </row>
    <row r="416">
      <c r="G416" s="18"/>
    </row>
    <row r="417">
      <c r="G417" s="18"/>
    </row>
    <row r="418">
      <c r="G418" s="18"/>
    </row>
    <row r="419">
      <c r="G419" s="18"/>
    </row>
    <row r="420">
      <c r="G420" s="18"/>
    </row>
    <row r="421">
      <c r="G421" s="18"/>
    </row>
    <row r="422">
      <c r="G422" s="18"/>
    </row>
    <row r="423">
      <c r="G423" s="18"/>
    </row>
    <row r="424">
      <c r="G424" s="18"/>
    </row>
    <row r="425">
      <c r="G425" s="18"/>
    </row>
    <row r="426">
      <c r="G426" s="18"/>
    </row>
    <row r="427">
      <c r="G427" s="18"/>
    </row>
    <row r="428">
      <c r="G428" s="18"/>
    </row>
    <row r="429">
      <c r="G429" s="18"/>
    </row>
    <row r="430">
      <c r="G430" s="18"/>
    </row>
    <row r="431">
      <c r="G431" s="18"/>
    </row>
    <row r="432">
      <c r="G432" s="18"/>
    </row>
    <row r="433">
      <c r="G433" s="18"/>
    </row>
    <row r="434">
      <c r="G434" s="18"/>
    </row>
    <row r="435">
      <c r="G435" s="18"/>
    </row>
    <row r="436">
      <c r="G436" s="18"/>
    </row>
    <row r="437">
      <c r="G437" s="18"/>
    </row>
    <row r="438">
      <c r="G438" s="18"/>
    </row>
    <row r="439">
      <c r="G439" s="18"/>
    </row>
    <row r="440">
      <c r="G440" s="18"/>
    </row>
    <row r="441">
      <c r="G441" s="18"/>
    </row>
    <row r="442">
      <c r="G442" s="18"/>
    </row>
    <row r="443">
      <c r="G443" s="18"/>
    </row>
    <row r="444">
      <c r="G444" s="18"/>
    </row>
    <row r="445">
      <c r="G445" s="18"/>
    </row>
    <row r="446">
      <c r="G446" s="18"/>
    </row>
    <row r="447">
      <c r="G447" s="18"/>
    </row>
    <row r="448">
      <c r="G448" s="18"/>
    </row>
    <row r="449">
      <c r="G449" s="18"/>
    </row>
    <row r="450">
      <c r="G450" s="18"/>
    </row>
    <row r="451">
      <c r="G451" s="18"/>
    </row>
    <row r="452">
      <c r="G452" s="18"/>
    </row>
    <row r="453">
      <c r="G453" s="18"/>
    </row>
    <row r="454">
      <c r="G454" s="18"/>
    </row>
    <row r="455">
      <c r="G455" s="18"/>
    </row>
    <row r="456">
      <c r="G456" s="18"/>
    </row>
    <row r="457">
      <c r="G457" s="18"/>
    </row>
    <row r="458">
      <c r="G458" s="18"/>
    </row>
    <row r="459">
      <c r="G459" s="18"/>
    </row>
    <row r="460">
      <c r="G460" s="18"/>
    </row>
    <row r="461">
      <c r="G461" s="18"/>
    </row>
    <row r="462">
      <c r="G462" s="18"/>
    </row>
    <row r="463">
      <c r="G463" s="18"/>
    </row>
    <row r="464">
      <c r="G464" s="18"/>
    </row>
    <row r="465">
      <c r="G465" s="18"/>
    </row>
    <row r="466">
      <c r="G466" s="18"/>
    </row>
    <row r="467">
      <c r="G467" s="18"/>
    </row>
    <row r="468">
      <c r="G468" s="18"/>
    </row>
    <row r="469">
      <c r="G469" s="18"/>
    </row>
    <row r="470">
      <c r="G470" s="18"/>
    </row>
    <row r="471">
      <c r="G471" s="18"/>
    </row>
    <row r="472">
      <c r="G472" s="18"/>
    </row>
    <row r="473">
      <c r="G473" s="18"/>
    </row>
    <row r="474">
      <c r="G474" s="18"/>
    </row>
    <row r="475">
      <c r="G475" s="18"/>
    </row>
    <row r="476">
      <c r="G476" s="18"/>
    </row>
    <row r="477">
      <c r="G477" s="18"/>
    </row>
    <row r="478">
      <c r="G478" s="18"/>
    </row>
    <row r="479">
      <c r="G479" s="18"/>
    </row>
    <row r="480">
      <c r="G480" s="18"/>
    </row>
    <row r="481">
      <c r="G481" s="18"/>
    </row>
    <row r="482">
      <c r="G482" s="18"/>
    </row>
    <row r="483">
      <c r="G483" s="18"/>
    </row>
    <row r="484">
      <c r="G484" s="18"/>
    </row>
    <row r="485">
      <c r="G485" s="18"/>
    </row>
    <row r="486">
      <c r="G486" s="18"/>
    </row>
    <row r="487">
      <c r="G487" s="18"/>
    </row>
    <row r="488">
      <c r="G488" s="18"/>
    </row>
    <row r="489">
      <c r="G489" s="18"/>
    </row>
    <row r="490">
      <c r="G490" s="18"/>
    </row>
    <row r="491">
      <c r="G491" s="18"/>
    </row>
    <row r="492">
      <c r="G492" s="18"/>
    </row>
    <row r="493">
      <c r="G493" s="18"/>
    </row>
    <row r="494">
      <c r="G494" s="18"/>
    </row>
    <row r="495">
      <c r="G495" s="18"/>
    </row>
    <row r="496">
      <c r="G496" s="18"/>
    </row>
    <row r="497">
      <c r="G497" s="18"/>
    </row>
    <row r="498">
      <c r="G498" s="18"/>
    </row>
    <row r="499">
      <c r="G499" s="18"/>
    </row>
    <row r="500">
      <c r="G500" s="18"/>
    </row>
    <row r="501">
      <c r="G501" s="18"/>
    </row>
    <row r="502">
      <c r="G502" s="18"/>
    </row>
    <row r="503">
      <c r="G503" s="18"/>
    </row>
    <row r="504">
      <c r="G504" s="18"/>
    </row>
    <row r="505">
      <c r="G505" s="18"/>
    </row>
    <row r="506">
      <c r="G506" s="18"/>
    </row>
    <row r="507">
      <c r="G507" s="18"/>
    </row>
    <row r="508">
      <c r="G508" s="18"/>
    </row>
    <row r="509">
      <c r="G509" s="18"/>
    </row>
    <row r="510">
      <c r="G510" s="18"/>
    </row>
    <row r="511">
      <c r="G511" s="18"/>
    </row>
    <row r="512">
      <c r="G512" s="18"/>
    </row>
    <row r="513">
      <c r="G513" s="18"/>
    </row>
    <row r="514">
      <c r="G514" s="18"/>
    </row>
    <row r="515">
      <c r="G515" s="18"/>
    </row>
    <row r="516">
      <c r="G516" s="18"/>
    </row>
    <row r="517">
      <c r="G517" s="18"/>
    </row>
    <row r="518">
      <c r="G518" s="18"/>
    </row>
    <row r="519">
      <c r="G519" s="18"/>
    </row>
    <row r="520">
      <c r="G520" s="18"/>
    </row>
    <row r="521">
      <c r="G521" s="18"/>
    </row>
    <row r="522">
      <c r="G522" s="18"/>
    </row>
    <row r="523">
      <c r="G523" s="18"/>
    </row>
    <row r="524">
      <c r="G524" s="18"/>
    </row>
    <row r="525">
      <c r="G525" s="18"/>
    </row>
    <row r="526">
      <c r="G526" s="18"/>
    </row>
    <row r="527">
      <c r="G527" s="18"/>
    </row>
    <row r="528">
      <c r="G528" s="18"/>
    </row>
    <row r="529">
      <c r="G529" s="18"/>
    </row>
    <row r="530">
      <c r="G530" s="18"/>
    </row>
    <row r="531">
      <c r="G531" s="18"/>
    </row>
    <row r="532">
      <c r="G532" s="18"/>
    </row>
    <row r="533">
      <c r="G533" s="18"/>
    </row>
    <row r="534">
      <c r="G534" s="18"/>
    </row>
    <row r="535">
      <c r="G535" s="18"/>
    </row>
    <row r="536">
      <c r="G536" s="18"/>
    </row>
    <row r="537">
      <c r="G537" s="18"/>
    </row>
    <row r="538">
      <c r="G538" s="18"/>
    </row>
    <row r="539">
      <c r="G539" s="18"/>
    </row>
    <row r="540">
      <c r="G540" s="18"/>
    </row>
    <row r="541">
      <c r="G541" s="18"/>
    </row>
    <row r="542">
      <c r="G542" s="18"/>
    </row>
    <row r="543">
      <c r="G543" s="18"/>
    </row>
    <row r="544">
      <c r="G544" s="18"/>
    </row>
    <row r="545">
      <c r="G545" s="18"/>
    </row>
    <row r="546">
      <c r="G546" s="18"/>
    </row>
    <row r="547">
      <c r="G547" s="18"/>
    </row>
    <row r="548">
      <c r="G548" s="18"/>
    </row>
    <row r="549">
      <c r="G549" s="18"/>
    </row>
    <row r="550">
      <c r="G550" s="18"/>
    </row>
    <row r="551">
      <c r="G551" s="18"/>
    </row>
    <row r="552">
      <c r="G552" s="18"/>
    </row>
    <row r="553">
      <c r="G553" s="18"/>
    </row>
    <row r="554">
      <c r="G554" s="18"/>
    </row>
    <row r="555">
      <c r="G555" s="18"/>
    </row>
    <row r="556">
      <c r="G556" s="18"/>
    </row>
    <row r="557">
      <c r="G557" s="18"/>
    </row>
    <row r="558">
      <c r="G558" s="18"/>
    </row>
    <row r="559">
      <c r="G559" s="18"/>
    </row>
    <row r="560">
      <c r="G560" s="18"/>
    </row>
    <row r="561">
      <c r="G561" s="18"/>
    </row>
    <row r="562">
      <c r="G562" s="18"/>
    </row>
    <row r="563">
      <c r="G563" s="18"/>
    </row>
    <row r="564">
      <c r="G564" s="18"/>
    </row>
    <row r="565">
      <c r="G565" s="18"/>
    </row>
    <row r="566">
      <c r="G566" s="18"/>
    </row>
    <row r="567">
      <c r="G567" s="18"/>
    </row>
    <row r="568">
      <c r="G568" s="18"/>
    </row>
    <row r="569">
      <c r="G569" s="18"/>
    </row>
    <row r="570">
      <c r="G570" s="18"/>
    </row>
    <row r="571">
      <c r="G571" s="18"/>
    </row>
    <row r="572">
      <c r="G572" s="18"/>
    </row>
    <row r="573">
      <c r="G573" s="18"/>
    </row>
    <row r="574">
      <c r="G574" s="18"/>
    </row>
    <row r="575">
      <c r="G575" s="18"/>
    </row>
    <row r="576">
      <c r="G576" s="18"/>
    </row>
    <row r="577">
      <c r="G577" s="18"/>
    </row>
    <row r="578">
      <c r="G578" s="18"/>
    </row>
    <row r="579">
      <c r="G579" s="18"/>
    </row>
    <row r="580">
      <c r="G580" s="18"/>
    </row>
    <row r="581">
      <c r="G581" s="18"/>
    </row>
    <row r="582">
      <c r="G582" s="18"/>
    </row>
    <row r="583">
      <c r="G583" s="18"/>
    </row>
    <row r="584">
      <c r="G584" s="18"/>
    </row>
    <row r="585">
      <c r="G585" s="18"/>
    </row>
    <row r="586">
      <c r="G586" s="18"/>
    </row>
    <row r="587">
      <c r="G587" s="18"/>
    </row>
    <row r="588">
      <c r="G588" s="18"/>
    </row>
    <row r="589">
      <c r="G589" s="18"/>
    </row>
    <row r="590">
      <c r="G590" s="18"/>
    </row>
    <row r="591">
      <c r="G591" s="18"/>
    </row>
    <row r="592">
      <c r="G592" s="18"/>
    </row>
    <row r="593">
      <c r="G593" s="18"/>
    </row>
    <row r="594">
      <c r="G594" s="18"/>
    </row>
    <row r="595">
      <c r="G595" s="18"/>
    </row>
    <row r="596">
      <c r="G596" s="18"/>
    </row>
    <row r="597">
      <c r="G597" s="18"/>
    </row>
    <row r="598">
      <c r="G598" s="18"/>
    </row>
    <row r="599">
      <c r="G599" s="18"/>
    </row>
    <row r="600">
      <c r="G600" s="18"/>
    </row>
    <row r="601">
      <c r="G601" s="18"/>
    </row>
    <row r="602">
      <c r="G602" s="18"/>
    </row>
    <row r="603">
      <c r="G603" s="18"/>
    </row>
    <row r="604">
      <c r="G604" s="18"/>
    </row>
    <row r="605">
      <c r="G605" s="18"/>
    </row>
    <row r="606">
      <c r="G606" s="18"/>
    </row>
    <row r="607">
      <c r="G607" s="18"/>
    </row>
    <row r="608">
      <c r="G608" s="18"/>
    </row>
    <row r="609">
      <c r="G609" s="18"/>
    </row>
    <row r="610">
      <c r="G610" s="18"/>
    </row>
    <row r="611">
      <c r="G611" s="18"/>
    </row>
    <row r="612">
      <c r="G612" s="18"/>
    </row>
    <row r="613">
      <c r="G613" s="18"/>
    </row>
    <row r="614">
      <c r="G614" s="18"/>
    </row>
    <row r="615">
      <c r="G615" s="18"/>
    </row>
    <row r="616">
      <c r="G616" s="18"/>
    </row>
    <row r="617">
      <c r="G617" s="18"/>
    </row>
    <row r="618">
      <c r="G618" s="18"/>
    </row>
    <row r="619">
      <c r="G619" s="18"/>
    </row>
    <row r="620">
      <c r="G620" s="18"/>
    </row>
    <row r="621">
      <c r="G621" s="18"/>
    </row>
    <row r="622">
      <c r="G622" s="18"/>
    </row>
    <row r="623">
      <c r="G623" s="18"/>
    </row>
    <row r="624">
      <c r="G624" s="18"/>
    </row>
    <row r="625">
      <c r="G625" s="18"/>
    </row>
    <row r="626">
      <c r="G626" s="18"/>
    </row>
    <row r="627">
      <c r="G627" s="18"/>
    </row>
    <row r="628">
      <c r="G628" s="18"/>
    </row>
    <row r="629">
      <c r="G629" s="18"/>
    </row>
    <row r="630">
      <c r="G630" s="18"/>
    </row>
    <row r="631">
      <c r="G631" s="18"/>
    </row>
    <row r="632">
      <c r="G632" s="18"/>
    </row>
    <row r="633">
      <c r="G633" s="18"/>
    </row>
    <row r="634">
      <c r="G634" s="18"/>
    </row>
    <row r="635">
      <c r="G635" s="18"/>
    </row>
    <row r="636">
      <c r="G636" s="18"/>
    </row>
    <row r="637">
      <c r="G637" s="18"/>
    </row>
    <row r="638">
      <c r="G638" s="18"/>
    </row>
    <row r="639">
      <c r="G639" s="18"/>
    </row>
    <row r="640">
      <c r="G640" s="18"/>
    </row>
    <row r="641">
      <c r="G641" s="18"/>
    </row>
    <row r="642">
      <c r="G642" s="18"/>
    </row>
    <row r="643">
      <c r="G643" s="18"/>
    </row>
    <row r="644">
      <c r="G644" s="18"/>
    </row>
    <row r="645">
      <c r="G645" s="18"/>
    </row>
    <row r="646">
      <c r="G646" s="18"/>
    </row>
    <row r="647">
      <c r="G647" s="18"/>
    </row>
    <row r="648">
      <c r="G648" s="18"/>
    </row>
    <row r="649">
      <c r="G649" s="18"/>
    </row>
    <row r="650">
      <c r="G650" s="18"/>
    </row>
    <row r="651">
      <c r="G651" s="18"/>
    </row>
    <row r="652">
      <c r="G652" s="18"/>
    </row>
    <row r="653">
      <c r="G653" s="18"/>
    </row>
    <row r="654">
      <c r="G654" s="18"/>
    </row>
    <row r="655">
      <c r="G655" s="18"/>
    </row>
    <row r="656">
      <c r="G656" s="18"/>
    </row>
    <row r="657">
      <c r="G657" s="18"/>
    </row>
    <row r="658">
      <c r="G658" s="18"/>
    </row>
    <row r="659">
      <c r="G659" s="18"/>
    </row>
    <row r="660">
      <c r="G660" s="18"/>
    </row>
    <row r="661">
      <c r="G661" s="18"/>
    </row>
    <row r="662">
      <c r="G662" s="18"/>
    </row>
    <row r="663">
      <c r="G663" s="18"/>
    </row>
    <row r="664">
      <c r="G664" s="18"/>
    </row>
    <row r="665">
      <c r="G665" s="18"/>
    </row>
    <row r="666">
      <c r="G666" s="18"/>
    </row>
    <row r="667">
      <c r="G667" s="18"/>
    </row>
    <row r="668">
      <c r="G668" s="18"/>
    </row>
    <row r="669">
      <c r="G669" s="18"/>
    </row>
    <row r="670">
      <c r="G670" s="18"/>
    </row>
    <row r="671">
      <c r="G671" s="18"/>
    </row>
    <row r="672">
      <c r="G672" s="18"/>
    </row>
    <row r="673">
      <c r="G673" s="18"/>
    </row>
    <row r="674">
      <c r="G674" s="18"/>
    </row>
    <row r="675">
      <c r="G675" s="18"/>
    </row>
    <row r="676">
      <c r="G676" s="18"/>
    </row>
    <row r="677">
      <c r="G677" s="18"/>
    </row>
    <row r="678">
      <c r="G678" s="18"/>
    </row>
    <row r="679">
      <c r="G679" s="18"/>
    </row>
    <row r="680">
      <c r="G680" s="18"/>
    </row>
    <row r="681">
      <c r="G681" s="18"/>
    </row>
    <row r="682">
      <c r="G682" s="18"/>
    </row>
    <row r="683">
      <c r="G683" s="18"/>
    </row>
    <row r="684">
      <c r="G684" s="18"/>
    </row>
    <row r="685">
      <c r="G685" s="18"/>
    </row>
    <row r="686">
      <c r="G686" s="18"/>
    </row>
    <row r="687">
      <c r="G687" s="18"/>
    </row>
    <row r="688">
      <c r="G688" s="18"/>
    </row>
    <row r="689">
      <c r="G689" s="18"/>
    </row>
    <row r="690">
      <c r="G690" s="18"/>
    </row>
    <row r="691">
      <c r="G691" s="18"/>
    </row>
    <row r="692">
      <c r="G692" s="18"/>
    </row>
    <row r="693">
      <c r="G693" s="18"/>
    </row>
    <row r="694">
      <c r="G694" s="18"/>
    </row>
    <row r="695">
      <c r="G695" s="18"/>
    </row>
    <row r="696">
      <c r="G696" s="18"/>
    </row>
    <row r="697">
      <c r="G697" s="18"/>
    </row>
    <row r="698">
      <c r="G698" s="18"/>
    </row>
    <row r="699">
      <c r="G699" s="18"/>
    </row>
    <row r="700">
      <c r="G700" s="18"/>
    </row>
    <row r="701">
      <c r="G701" s="18"/>
    </row>
    <row r="702">
      <c r="G702" s="18"/>
    </row>
    <row r="703">
      <c r="G703" s="18"/>
    </row>
    <row r="704">
      <c r="G704" s="18"/>
    </row>
    <row r="705">
      <c r="G705" s="18"/>
    </row>
    <row r="706">
      <c r="G706" s="18"/>
    </row>
    <row r="707">
      <c r="G707" s="18"/>
    </row>
    <row r="708">
      <c r="G708" s="18"/>
    </row>
    <row r="709">
      <c r="G709" s="18"/>
    </row>
    <row r="710">
      <c r="G710" s="18"/>
    </row>
    <row r="711">
      <c r="G711" s="18"/>
    </row>
    <row r="712">
      <c r="G712" s="18"/>
    </row>
    <row r="713">
      <c r="G713" s="18"/>
    </row>
    <row r="714">
      <c r="G714" s="18"/>
    </row>
    <row r="715">
      <c r="G715" s="18"/>
    </row>
    <row r="716">
      <c r="G716" s="18"/>
    </row>
    <row r="717">
      <c r="G717" s="18"/>
    </row>
    <row r="718">
      <c r="G718" s="18"/>
    </row>
    <row r="719">
      <c r="G719" s="18"/>
    </row>
    <row r="720">
      <c r="G720" s="18"/>
    </row>
    <row r="721">
      <c r="G721" s="18"/>
    </row>
    <row r="722">
      <c r="G722" s="18"/>
    </row>
    <row r="723">
      <c r="G723" s="18"/>
    </row>
    <row r="724">
      <c r="G724" s="18"/>
    </row>
    <row r="725">
      <c r="G725" s="18"/>
    </row>
    <row r="726">
      <c r="G726" s="18"/>
    </row>
    <row r="727">
      <c r="G727" s="18"/>
    </row>
    <row r="728">
      <c r="G728" s="18"/>
    </row>
    <row r="729">
      <c r="G729" s="18"/>
    </row>
    <row r="730">
      <c r="G730" s="18"/>
    </row>
    <row r="731">
      <c r="G731" s="18"/>
    </row>
    <row r="732">
      <c r="G732" s="18"/>
    </row>
    <row r="733">
      <c r="G733" s="18"/>
    </row>
    <row r="734">
      <c r="G734" s="18"/>
    </row>
    <row r="735">
      <c r="G735" s="18"/>
    </row>
    <row r="736">
      <c r="G736" s="18"/>
    </row>
    <row r="737">
      <c r="G737" s="18"/>
    </row>
    <row r="738">
      <c r="G738" s="18"/>
    </row>
    <row r="739">
      <c r="G739" s="18"/>
    </row>
    <row r="740">
      <c r="G740" s="18"/>
    </row>
    <row r="741">
      <c r="G741" s="18"/>
    </row>
    <row r="742">
      <c r="G742" s="18"/>
    </row>
    <row r="743">
      <c r="G743" s="18"/>
    </row>
    <row r="744">
      <c r="G744" s="18"/>
    </row>
    <row r="745">
      <c r="G745" s="18"/>
    </row>
    <row r="746">
      <c r="G746" s="18"/>
    </row>
    <row r="747">
      <c r="G747" s="18"/>
    </row>
    <row r="748">
      <c r="G748" s="18"/>
    </row>
    <row r="749">
      <c r="G749" s="18"/>
    </row>
    <row r="750">
      <c r="G750" s="18"/>
    </row>
    <row r="751">
      <c r="G751" s="18"/>
    </row>
    <row r="752">
      <c r="G752" s="18"/>
    </row>
    <row r="753">
      <c r="G753" s="18"/>
    </row>
    <row r="754">
      <c r="G754" s="18"/>
    </row>
    <row r="755">
      <c r="G755" s="18"/>
    </row>
    <row r="756">
      <c r="G756" s="18"/>
    </row>
    <row r="757">
      <c r="G757" s="18"/>
    </row>
    <row r="758">
      <c r="G758" s="18"/>
    </row>
    <row r="759">
      <c r="G759" s="18"/>
    </row>
    <row r="760">
      <c r="G760" s="18"/>
    </row>
    <row r="761">
      <c r="G761" s="18"/>
    </row>
    <row r="762">
      <c r="G762" s="18"/>
    </row>
    <row r="763">
      <c r="G763" s="18"/>
    </row>
    <row r="764">
      <c r="G764" s="18"/>
    </row>
    <row r="765">
      <c r="G765" s="18"/>
    </row>
    <row r="766">
      <c r="G766" s="18"/>
    </row>
    <row r="767">
      <c r="G767" s="18"/>
    </row>
    <row r="768">
      <c r="G768" s="18"/>
    </row>
    <row r="769">
      <c r="G769" s="18"/>
    </row>
    <row r="770">
      <c r="G770" s="18"/>
    </row>
    <row r="771">
      <c r="G771" s="18"/>
    </row>
    <row r="772">
      <c r="G772" s="18"/>
    </row>
    <row r="773">
      <c r="G773" s="18"/>
    </row>
    <row r="774">
      <c r="G774" s="18"/>
    </row>
    <row r="775">
      <c r="G775" s="18"/>
    </row>
    <row r="776">
      <c r="G776" s="18"/>
    </row>
    <row r="777">
      <c r="G777" s="18"/>
    </row>
    <row r="778">
      <c r="G778" s="18"/>
    </row>
    <row r="779">
      <c r="G779" s="18"/>
    </row>
    <row r="780">
      <c r="G780" s="18"/>
    </row>
    <row r="781">
      <c r="G781" s="18"/>
    </row>
    <row r="782">
      <c r="G782" s="18"/>
    </row>
    <row r="783">
      <c r="G783" s="18"/>
    </row>
    <row r="784">
      <c r="G784" s="18"/>
    </row>
    <row r="785">
      <c r="G785" s="18"/>
    </row>
    <row r="786">
      <c r="G786" s="18"/>
    </row>
    <row r="787">
      <c r="G787" s="18"/>
    </row>
    <row r="788">
      <c r="G788" s="18"/>
    </row>
    <row r="789">
      <c r="G789" s="18"/>
    </row>
    <row r="790">
      <c r="G790" s="18"/>
    </row>
    <row r="791">
      <c r="G791" s="18"/>
    </row>
    <row r="792">
      <c r="G792" s="18"/>
    </row>
    <row r="793">
      <c r="G793" s="18"/>
    </row>
    <row r="794">
      <c r="G794" s="18"/>
    </row>
    <row r="795">
      <c r="G795" s="18"/>
    </row>
    <row r="796">
      <c r="G796" s="18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  <row r="814">
      <c r="G814" s="18"/>
    </row>
    <row r="815">
      <c r="G815" s="18"/>
    </row>
    <row r="816">
      <c r="G816" s="18"/>
    </row>
    <row r="817">
      <c r="G817" s="18"/>
    </row>
    <row r="818">
      <c r="G818" s="18"/>
    </row>
    <row r="819">
      <c r="G819" s="18"/>
    </row>
    <row r="820">
      <c r="G820" s="18"/>
    </row>
    <row r="821">
      <c r="G821" s="18"/>
    </row>
    <row r="822">
      <c r="G822" s="18"/>
    </row>
    <row r="823">
      <c r="G823" s="18"/>
    </row>
    <row r="824">
      <c r="G824" s="18"/>
    </row>
    <row r="825">
      <c r="G825" s="18"/>
    </row>
    <row r="826">
      <c r="G826" s="18"/>
    </row>
    <row r="827">
      <c r="G827" s="18"/>
    </row>
    <row r="828">
      <c r="G828" s="18"/>
    </row>
    <row r="829">
      <c r="G829" s="18"/>
    </row>
    <row r="830">
      <c r="G830" s="18"/>
    </row>
    <row r="831">
      <c r="G831" s="18"/>
    </row>
    <row r="832">
      <c r="G832" s="18"/>
    </row>
    <row r="833">
      <c r="G833" s="18"/>
    </row>
    <row r="834">
      <c r="G834" s="18"/>
    </row>
    <row r="835">
      <c r="G835" s="18"/>
    </row>
    <row r="836">
      <c r="G836" s="18"/>
    </row>
    <row r="837">
      <c r="G837" s="18"/>
    </row>
    <row r="838">
      <c r="G838" s="18"/>
    </row>
    <row r="839">
      <c r="G839" s="18"/>
    </row>
    <row r="840">
      <c r="G840" s="18"/>
    </row>
    <row r="841">
      <c r="G841" s="18"/>
    </row>
    <row r="842">
      <c r="G842" s="18"/>
    </row>
    <row r="843">
      <c r="G843" s="18"/>
    </row>
    <row r="844">
      <c r="G844" s="18"/>
    </row>
    <row r="845">
      <c r="G845" s="18"/>
    </row>
    <row r="846">
      <c r="G846" s="18"/>
    </row>
    <row r="847">
      <c r="G847" s="18"/>
    </row>
    <row r="848">
      <c r="G848" s="18"/>
    </row>
    <row r="849">
      <c r="G849" s="18"/>
    </row>
    <row r="850">
      <c r="G850" s="18"/>
    </row>
    <row r="851">
      <c r="G851" s="18"/>
    </row>
    <row r="852">
      <c r="G852" s="18"/>
    </row>
    <row r="853">
      <c r="G853" s="18"/>
    </row>
    <row r="854">
      <c r="G854" s="18"/>
    </row>
    <row r="855">
      <c r="G855" s="18"/>
    </row>
    <row r="856">
      <c r="G856" s="18"/>
    </row>
    <row r="857">
      <c r="G857" s="18"/>
    </row>
    <row r="858">
      <c r="G858" s="18"/>
    </row>
    <row r="859">
      <c r="G859" s="18"/>
    </row>
    <row r="860">
      <c r="G860" s="18"/>
    </row>
    <row r="861">
      <c r="G861" s="18"/>
    </row>
    <row r="862">
      <c r="G862" s="18"/>
    </row>
    <row r="863">
      <c r="G863" s="18"/>
    </row>
    <row r="864">
      <c r="G864" s="18"/>
    </row>
    <row r="865">
      <c r="G865" s="18"/>
    </row>
    <row r="866">
      <c r="G866" s="18"/>
    </row>
    <row r="867">
      <c r="G867" s="18"/>
    </row>
    <row r="868">
      <c r="G868" s="18"/>
    </row>
    <row r="869">
      <c r="G869" s="18"/>
    </row>
    <row r="870">
      <c r="G870" s="18"/>
    </row>
    <row r="871">
      <c r="G871" s="18"/>
    </row>
    <row r="872">
      <c r="G872" s="18"/>
    </row>
    <row r="873">
      <c r="G873" s="18"/>
    </row>
    <row r="874">
      <c r="G874" s="18"/>
    </row>
    <row r="875">
      <c r="G875" s="18"/>
    </row>
    <row r="876">
      <c r="G876" s="18"/>
    </row>
    <row r="877">
      <c r="G877" s="18"/>
    </row>
    <row r="878">
      <c r="G878" s="18"/>
    </row>
    <row r="879">
      <c r="G879" s="18"/>
    </row>
    <row r="880">
      <c r="G880" s="18"/>
    </row>
    <row r="881">
      <c r="G881" s="18"/>
    </row>
    <row r="882">
      <c r="G882" s="18"/>
    </row>
    <row r="883">
      <c r="G883" s="18"/>
    </row>
    <row r="884">
      <c r="G884" s="18"/>
    </row>
    <row r="885">
      <c r="G885" s="18"/>
    </row>
    <row r="886">
      <c r="G886" s="18"/>
    </row>
    <row r="887">
      <c r="G887" s="18"/>
    </row>
    <row r="888">
      <c r="G888" s="18"/>
    </row>
    <row r="889">
      <c r="G889" s="18"/>
    </row>
    <row r="890">
      <c r="G890" s="18"/>
    </row>
    <row r="891">
      <c r="G891" s="18"/>
    </row>
    <row r="892">
      <c r="G892" s="18"/>
    </row>
    <row r="893">
      <c r="G893" s="18"/>
    </row>
    <row r="894">
      <c r="G894" s="18"/>
    </row>
    <row r="895">
      <c r="G895" s="18"/>
    </row>
    <row r="896">
      <c r="G896" s="18"/>
    </row>
    <row r="897">
      <c r="G897" s="18"/>
    </row>
    <row r="898">
      <c r="G898" s="18"/>
    </row>
    <row r="899">
      <c r="G899" s="18"/>
    </row>
    <row r="900">
      <c r="G900" s="18"/>
    </row>
    <row r="901">
      <c r="G901" s="18"/>
    </row>
    <row r="902">
      <c r="G902" s="18"/>
    </row>
    <row r="903">
      <c r="G903" s="18"/>
    </row>
    <row r="904">
      <c r="G904" s="18"/>
    </row>
    <row r="905">
      <c r="G905" s="18"/>
    </row>
    <row r="906">
      <c r="G906" s="18"/>
    </row>
    <row r="907">
      <c r="G907" s="18"/>
    </row>
    <row r="908">
      <c r="G908" s="18"/>
    </row>
    <row r="909">
      <c r="G909" s="18"/>
    </row>
    <row r="910">
      <c r="G910" s="18"/>
    </row>
    <row r="911">
      <c r="G911" s="18"/>
    </row>
    <row r="912">
      <c r="G912" s="18"/>
    </row>
    <row r="913">
      <c r="G913" s="18"/>
    </row>
    <row r="914">
      <c r="G914" s="18"/>
    </row>
    <row r="915">
      <c r="G915" s="18"/>
    </row>
    <row r="916">
      <c r="G916" s="18"/>
    </row>
    <row r="917">
      <c r="G917" s="18"/>
    </row>
    <row r="918">
      <c r="G918" s="18"/>
    </row>
    <row r="919">
      <c r="G919" s="18"/>
    </row>
    <row r="920">
      <c r="G920" s="18"/>
    </row>
    <row r="921">
      <c r="G921" s="18"/>
    </row>
    <row r="922">
      <c r="G922" s="18"/>
    </row>
    <row r="923">
      <c r="G923" s="18"/>
    </row>
    <row r="924">
      <c r="G924" s="18"/>
    </row>
    <row r="925">
      <c r="G925" s="18"/>
    </row>
    <row r="926">
      <c r="G926" s="18"/>
    </row>
    <row r="927">
      <c r="G927" s="18"/>
    </row>
    <row r="928">
      <c r="G928" s="18"/>
    </row>
    <row r="929">
      <c r="G929" s="18"/>
    </row>
    <row r="930">
      <c r="G930" s="18"/>
    </row>
    <row r="931">
      <c r="G931" s="18"/>
    </row>
    <row r="932">
      <c r="G932" s="18"/>
    </row>
    <row r="933">
      <c r="G933" s="18"/>
    </row>
    <row r="934">
      <c r="G934" s="18"/>
    </row>
    <row r="935">
      <c r="G935" s="18"/>
    </row>
    <row r="936">
      <c r="G936" s="18"/>
    </row>
    <row r="937">
      <c r="G937" s="18"/>
    </row>
    <row r="938">
      <c r="G938" s="18"/>
    </row>
    <row r="939">
      <c r="G939" s="18"/>
    </row>
    <row r="940">
      <c r="G940" s="18"/>
    </row>
    <row r="941">
      <c r="G941" s="18"/>
    </row>
    <row r="942">
      <c r="G942" s="18"/>
    </row>
    <row r="943">
      <c r="G943" s="18"/>
    </row>
    <row r="944">
      <c r="G944" s="18"/>
    </row>
    <row r="945">
      <c r="G945" s="18"/>
    </row>
    <row r="946">
      <c r="G946" s="18"/>
    </row>
    <row r="947">
      <c r="G947" s="18"/>
    </row>
    <row r="948">
      <c r="G948" s="18"/>
    </row>
    <row r="949">
      <c r="G949" s="18"/>
    </row>
    <row r="950">
      <c r="G950" s="18"/>
    </row>
    <row r="951">
      <c r="G951" s="18"/>
    </row>
    <row r="952">
      <c r="G952" s="18"/>
    </row>
    <row r="953">
      <c r="G953" s="18"/>
    </row>
    <row r="954">
      <c r="G954" s="18"/>
    </row>
    <row r="955">
      <c r="G955" s="18"/>
    </row>
    <row r="956">
      <c r="G956" s="18"/>
    </row>
    <row r="957">
      <c r="G957" s="18"/>
    </row>
    <row r="958">
      <c r="G958" s="18"/>
    </row>
    <row r="959">
      <c r="G959" s="18"/>
    </row>
    <row r="960">
      <c r="G960" s="18"/>
    </row>
    <row r="961">
      <c r="G961" s="18"/>
    </row>
    <row r="962">
      <c r="G962" s="18"/>
    </row>
    <row r="963">
      <c r="G963" s="18"/>
    </row>
    <row r="964">
      <c r="G964" s="18"/>
    </row>
    <row r="965">
      <c r="G965" s="18"/>
    </row>
    <row r="966">
      <c r="G966" s="18"/>
    </row>
    <row r="967">
      <c r="G967" s="18"/>
    </row>
    <row r="968">
      <c r="G968" s="18"/>
    </row>
    <row r="969">
      <c r="G969" s="18"/>
    </row>
    <row r="970">
      <c r="G970" s="18"/>
    </row>
    <row r="971">
      <c r="G971" s="18"/>
    </row>
    <row r="972">
      <c r="G972" s="18"/>
    </row>
    <row r="973">
      <c r="G973" s="18"/>
    </row>
    <row r="974">
      <c r="G974" s="18"/>
    </row>
    <row r="975">
      <c r="G975" s="18"/>
    </row>
    <row r="976">
      <c r="G976" s="18"/>
    </row>
    <row r="977">
      <c r="G977" s="18"/>
    </row>
    <row r="978">
      <c r="G978" s="18"/>
    </row>
    <row r="979">
      <c r="G979" s="18"/>
    </row>
    <row r="980">
      <c r="G980" s="18"/>
    </row>
    <row r="981">
      <c r="G981" s="18"/>
    </row>
    <row r="982">
      <c r="G982" s="18"/>
    </row>
    <row r="983">
      <c r="G983" s="18"/>
    </row>
    <row r="984">
      <c r="G984" s="18"/>
    </row>
    <row r="985">
      <c r="G985" s="18"/>
    </row>
    <row r="986">
      <c r="G986" s="18"/>
    </row>
    <row r="987">
      <c r="G987" s="18"/>
    </row>
    <row r="988">
      <c r="G988" s="18"/>
    </row>
    <row r="989">
      <c r="G989" s="18"/>
    </row>
    <row r="990">
      <c r="G990" s="18"/>
    </row>
    <row r="991">
      <c r="G991" s="18"/>
    </row>
    <row r="992">
      <c r="G992" s="18"/>
    </row>
    <row r="993">
      <c r="G993" s="18"/>
    </row>
    <row r="994">
      <c r="G994" s="18"/>
    </row>
    <row r="995">
      <c r="G995" s="18"/>
    </row>
    <row r="996">
      <c r="G996" s="18"/>
    </row>
    <row r="997">
      <c r="G997" s="18"/>
    </row>
    <row r="998">
      <c r="G998" s="18"/>
    </row>
    <row r="999">
      <c r="G999" s="18"/>
    </row>
    <row r="1000">
      <c r="G1000" s="18"/>
    </row>
    <row r="1001">
      <c r="G1001" s="18"/>
    </row>
  </sheetData>
  <dataValidations>
    <dataValidation type="custom" allowBlank="1" showDropDown="1" sqref="G3:G18 A21:D37 G21:G37 I21:I37 A40:D55 G40:G55 A61:A111 C61:F111">
      <formula1>AND(ISNUMBER(A3),(NOT(OR(NOT(ISERROR(DATEVALUE(A3))), AND(ISNUMBER(A3), LEFT(CELL("format", A3))="D")))))</formula1>
    </dataValidation>
    <dataValidation type="list" allowBlank="1" showDropDown="1" showErrorMessage="1" sqref="B61:B111">
      <formula1>"E2,E15,C12,A4,B16,C10,B3,C2"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2" t="s">
        <v>40</v>
      </c>
    </row>
    <row r="4">
      <c r="B4" s="22" t="s">
        <v>41</v>
      </c>
      <c r="C4" s="22" t="s">
        <v>42</v>
      </c>
      <c r="D4" s="22" t="s">
        <v>43</v>
      </c>
    </row>
    <row r="5">
      <c r="B5" s="22">
        <v>0.0</v>
      </c>
      <c r="C5" s="22">
        <v>0.0</v>
      </c>
      <c r="D5" s="22">
        <v>33.0</v>
      </c>
    </row>
    <row r="6">
      <c r="B6" s="22">
        <v>1.0</v>
      </c>
      <c r="C6" s="22">
        <v>8.0</v>
      </c>
      <c r="D6" s="22">
        <v>33.0</v>
      </c>
    </row>
    <row r="7">
      <c r="B7" s="22">
        <v>2.0</v>
      </c>
      <c r="C7" s="22">
        <v>32.0</v>
      </c>
      <c r="D7" s="22">
        <v>33.0</v>
      </c>
    </row>
    <row r="8">
      <c r="B8" s="22">
        <v>3.0</v>
      </c>
      <c r="C8" s="22">
        <v>50.0</v>
      </c>
      <c r="D8" s="22">
        <v>33.0</v>
      </c>
    </row>
    <row r="9">
      <c r="B9" s="22">
        <v>4.0</v>
      </c>
      <c r="C9" s="22">
        <v>78.0</v>
      </c>
      <c r="D9" s="22">
        <v>33.0</v>
      </c>
    </row>
    <row r="10">
      <c r="B10" s="22">
        <v>5.0</v>
      </c>
      <c r="C10" s="22">
        <v>94.0</v>
      </c>
      <c r="D10" s="22">
        <v>33.0</v>
      </c>
    </row>
    <row r="11">
      <c r="B11" s="22">
        <v>6.0</v>
      </c>
      <c r="C11" s="22">
        <v>130.0</v>
      </c>
      <c r="D11" s="22">
        <v>33.0</v>
      </c>
    </row>
    <row r="12">
      <c r="B12" s="22">
        <v>7.0</v>
      </c>
      <c r="C12" s="22">
        <v>176.0</v>
      </c>
      <c r="D12" s="22">
        <v>56.0</v>
      </c>
    </row>
    <row r="13">
      <c r="B13" s="22">
        <v>8.0</v>
      </c>
      <c r="C13" s="22">
        <v>222.0</v>
      </c>
      <c r="D13" s="22">
        <v>52.0</v>
      </c>
    </row>
    <row r="14">
      <c r="B14" s="22">
        <v>9.0</v>
      </c>
      <c r="C14" s="22">
        <v>273.0</v>
      </c>
      <c r="D14" s="22">
        <v>57.0</v>
      </c>
    </row>
    <row r="15">
      <c r="B15" s="22">
        <v>10.0</v>
      </c>
      <c r="C15" s="22">
        <v>328.0</v>
      </c>
      <c r="D15" s="22">
        <v>63.0</v>
      </c>
    </row>
    <row r="16">
      <c r="B16" s="22">
        <v>11.0</v>
      </c>
      <c r="C16" s="22">
        <v>389.0</v>
      </c>
      <c r="D16" s="22">
        <v>64.0</v>
      </c>
    </row>
    <row r="17">
      <c r="B17" s="22">
        <v>12.0</v>
      </c>
      <c r="C17" s="22">
        <v>450.0</v>
      </c>
      <c r="D17" s="22">
        <v>71.0</v>
      </c>
    </row>
    <row r="18">
      <c r="B18" s="22">
        <v>13.0</v>
      </c>
      <c r="C18" s="22">
        <v>512.0</v>
      </c>
      <c r="D18" s="22">
        <v>75.0</v>
      </c>
    </row>
    <row r="19">
      <c r="B19" s="22">
        <v>14.0</v>
      </c>
      <c r="C19" s="22">
        <v>586.0</v>
      </c>
      <c r="D19" s="22">
        <v>80.0</v>
      </c>
    </row>
    <row r="21">
      <c r="J21" s="14" t="s">
        <v>44</v>
      </c>
    </row>
    <row r="22">
      <c r="B22" s="14" t="s">
        <v>40</v>
      </c>
      <c r="C22" s="14" t="s">
        <v>45</v>
      </c>
      <c r="D22" s="14" t="s">
        <v>22</v>
      </c>
      <c r="E22" s="14" t="s">
        <v>46</v>
      </c>
      <c r="H22" s="23"/>
      <c r="J22" s="14" t="s">
        <v>41</v>
      </c>
      <c r="K22" s="24" t="s">
        <v>47</v>
      </c>
      <c r="L22" s="24" t="s">
        <v>48</v>
      </c>
      <c r="M22" s="24" t="s">
        <v>49</v>
      </c>
    </row>
    <row r="23">
      <c r="B23" s="22" t="s">
        <v>41</v>
      </c>
      <c r="H23" s="23"/>
      <c r="J23" s="22">
        <v>0.0</v>
      </c>
      <c r="K23" s="22">
        <v>0.0</v>
      </c>
      <c r="L23" s="22">
        <v>33.0</v>
      </c>
      <c r="M23" s="14">
        <v>33.0</v>
      </c>
    </row>
    <row r="24">
      <c r="B24" s="22">
        <v>0.0</v>
      </c>
      <c r="C24" s="14">
        <v>10.0</v>
      </c>
      <c r="D24" s="22">
        <v>0.0</v>
      </c>
      <c r="H24" s="23"/>
      <c r="J24" s="22">
        <v>1.0</v>
      </c>
      <c r="K24" s="22">
        <v>8.0</v>
      </c>
      <c r="L24" s="22">
        <v>33.0</v>
      </c>
      <c r="M24" s="14">
        <v>33.0</v>
      </c>
    </row>
    <row r="25">
      <c r="B25" s="22">
        <v>1.0</v>
      </c>
      <c r="C25" s="14">
        <v>40.0</v>
      </c>
      <c r="D25" s="22">
        <v>8.0</v>
      </c>
      <c r="H25" s="23"/>
      <c r="J25" s="22">
        <v>2.0</v>
      </c>
      <c r="K25" s="22">
        <v>32.0</v>
      </c>
      <c r="L25" s="22">
        <v>33.0</v>
      </c>
      <c r="M25" s="14">
        <v>33.0</v>
      </c>
    </row>
    <row r="26">
      <c r="B26" s="22">
        <v>2.0</v>
      </c>
      <c r="C26" s="14">
        <v>40.0</v>
      </c>
      <c r="D26" s="22">
        <v>32.0</v>
      </c>
      <c r="H26" s="23"/>
      <c r="J26" s="22">
        <v>3.0</v>
      </c>
      <c r="K26" s="22">
        <v>50.0</v>
      </c>
      <c r="L26" s="22">
        <v>33.0</v>
      </c>
      <c r="M26" s="25">
        <v>33.0</v>
      </c>
    </row>
    <row r="27">
      <c r="B27" s="22">
        <v>3.0</v>
      </c>
      <c r="C27" s="14">
        <v>45.0</v>
      </c>
      <c r="D27" s="22">
        <v>50.0</v>
      </c>
      <c r="E27" s="25">
        <f t="shared" ref="E27:E38" si="1">(D27^2)/(2*C27*1000)*1000</f>
        <v>27.77777778</v>
      </c>
      <c r="H27" s="23"/>
      <c r="J27" s="22">
        <v>4.0</v>
      </c>
      <c r="K27" s="22">
        <v>78.0</v>
      </c>
      <c r="L27" s="22">
        <v>33.0</v>
      </c>
      <c r="M27" s="25">
        <v>33.06521739130435</v>
      </c>
    </row>
    <row r="28">
      <c r="B28" s="22">
        <v>4.0</v>
      </c>
      <c r="C28" s="14">
        <v>92.0</v>
      </c>
      <c r="D28" s="22">
        <v>78.0</v>
      </c>
      <c r="E28" s="25">
        <f t="shared" si="1"/>
        <v>33.06521739</v>
      </c>
      <c r="H28" s="23"/>
      <c r="J28" s="22">
        <v>5.0</v>
      </c>
      <c r="K28" s="22">
        <v>94.0</v>
      </c>
      <c r="L28" s="22">
        <v>33.0</v>
      </c>
      <c r="M28" s="25">
        <v>32.48529411764706</v>
      </c>
    </row>
    <row r="29">
      <c r="B29" s="22">
        <v>5.0</v>
      </c>
      <c r="C29" s="14">
        <v>136.0</v>
      </c>
      <c r="D29" s="22">
        <v>94.0</v>
      </c>
      <c r="E29" s="25">
        <f t="shared" si="1"/>
        <v>32.48529412</v>
      </c>
      <c r="H29" s="23"/>
      <c r="J29" s="22">
        <v>6.0</v>
      </c>
      <c r="K29" s="22">
        <v>130.0</v>
      </c>
      <c r="L29" s="22">
        <v>33.0</v>
      </c>
      <c r="M29" s="25">
        <v>43.333333333333336</v>
      </c>
    </row>
    <row r="30">
      <c r="B30" s="22">
        <v>6.0</v>
      </c>
      <c r="C30" s="14">
        <v>195.0</v>
      </c>
      <c r="D30" s="22">
        <v>130.0</v>
      </c>
      <c r="E30" s="25">
        <f t="shared" si="1"/>
        <v>43.33333333</v>
      </c>
      <c r="H30" s="23"/>
      <c r="J30" s="22">
        <v>7.0</v>
      </c>
      <c r="K30" s="22">
        <v>176.0</v>
      </c>
      <c r="L30" s="22">
        <v>56.0</v>
      </c>
      <c r="M30" s="25">
        <v>58.666666666666664</v>
      </c>
    </row>
    <row r="31">
      <c r="B31" s="22">
        <v>7.0</v>
      </c>
      <c r="C31" s="14">
        <v>264.0</v>
      </c>
      <c r="D31" s="22">
        <v>176.0</v>
      </c>
      <c r="E31" s="25">
        <f t="shared" si="1"/>
        <v>58.66666667</v>
      </c>
      <c r="H31" s="23"/>
      <c r="J31" s="22">
        <v>8.0</v>
      </c>
      <c r="K31" s="22">
        <v>222.0</v>
      </c>
      <c r="L31" s="22">
        <v>52.0</v>
      </c>
      <c r="M31" s="25">
        <v>68.26038781163435</v>
      </c>
    </row>
    <row r="32">
      <c r="B32" s="22">
        <v>8.0</v>
      </c>
      <c r="C32" s="14">
        <v>361.0</v>
      </c>
      <c r="D32" s="22">
        <v>222.0</v>
      </c>
      <c r="E32" s="25">
        <f t="shared" si="1"/>
        <v>68.26038781</v>
      </c>
      <c r="H32" s="23"/>
      <c r="J32" s="22">
        <v>9.0</v>
      </c>
      <c r="K32" s="22">
        <v>273.0</v>
      </c>
      <c r="L32" s="22">
        <v>57.0</v>
      </c>
      <c r="M32" s="25">
        <v>77.15217391304348</v>
      </c>
    </row>
    <row r="33">
      <c r="B33" s="22">
        <v>9.0</v>
      </c>
      <c r="C33" s="14">
        <v>483.0</v>
      </c>
      <c r="D33" s="22">
        <v>273.0</v>
      </c>
      <c r="E33" s="25">
        <f t="shared" si="1"/>
        <v>77.15217391</v>
      </c>
      <c r="H33" s="23"/>
      <c r="J33" s="22">
        <v>10.0</v>
      </c>
      <c r="K33" s="22">
        <v>328.0</v>
      </c>
      <c r="L33" s="22">
        <v>63.0</v>
      </c>
      <c r="M33" s="25">
        <v>82.12519083969467</v>
      </c>
    </row>
    <row r="34">
      <c r="B34" s="22">
        <v>10.0</v>
      </c>
      <c r="C34" s="14">
        <v>655.0</v>
      </c>
      <c r="D34" s="22">
        <v>328.0</v>
      </c>
      <c r="E34" s="25">
        <f t="shared" si="1"/>
        <v>82.12519084</v>
      </c>
      <c r="H34" s="23"/>
      <c r="J34" s="22">
        <v>11.0</v>
      </c>
      <c r="K34" s="22">
        <v>389.0</v>
      </c>
      <c r="L34" s="22">
        <v>64.0</v>
      </c>
      <c r="M34" s="25">
        <v>88.49181286549708</v>
      </c>
    </row>
    <row r="35">
      <c r="B35" s="22">
        <v>11.0</v>
      </c>
      <c r="C35" s="14">
        <v>855.0</v>
      </c>
      <c r="D35" s="22">
        <v>389.0</v>
      </c>
      <c r="E35" s="25">
        <f t="shared" si="1"/>
        <v>88.49181287</v>
      </c>
      <c r="H35" s="23"/>
      <c r="J35" s="22">
        <v>12.0</v>
      </c>
      <c r="K35" s="22">
        <v>450.0</v>
      </c>
      <c r="L35" s="22">
        <v>71.0</v>
      </c>
      <c r="M35" s="25">
        <v>91.6289592760181</v>
      </c>
    </row>
    <row r="36">
      <c r="B36" s="22">
        <v>12.0</v>
      </c>
      <c r="C36" s="14">
        <v>1105.0</v>
      </c>
      <c r="D36" s="22">
        <v>450.0</v>
      </c>
      <c r="E36" s="25">
        <f t="shared" si="1"/>
        <v>91.62895928</v>
      </c>
      <c r="H36" s="26"/>
      <c r="J36" s="22">
        <v>13.0</v>
      </c>
      <c r="K36" s="22">
        <v>512.0</v>
      </c>
      <c r="L36" s="22">
        <v>75.0</v>
      </c>
      <c r="M36" s="25">
        <v>96.66076696165192</v>
      </c>
    </row>
    <row r="37">
      <c r="B37" s="22">
        <v>13.0</v>
      </c>
      <c r="C37" s="6">
        <f>1420-64</f>
        <v>1356</v>
      </c>
      <c r="D37" s="22">
        <v>512.0</v>
      </c>
      <c r="E37" s="25">
        <f t="shared" si="1"/>
        <v>96.66076696</v>
      </c>
      <c r="J37" s="22">
        <v>14.0</v>
      </c>
      <c r="K37" s="22">
        <v>586.0</v>
      </c>
      <c r="L37" s="22">
        <v>80.0</v>
      </c>
      <c r="M37" s="25">
        <v>112.22091503267974</v>
      </c>
    </row>
    <row r="38">
      <c r="B38" s="22">
        <v>14.0</v>
      </c>
      <c r="C38" s="6">
        <f>1420+110</f>
        <v>1530</v>
      </c>
      <c r="D38" s="22">
        <v>586.0</v>
      </c>
      <c r="E38" s="25">
        <f t="shared" si="1"/>
        <v>112.220915</v>
      </c>
    </row>
    <row r="40">
      <c r="E40" s="14" t="s">
        <v>50</v>
      </c>
    </row>
    <row r="44">
      <c r="B44" s="12">
        <v>60.0</v>
      </c>
    </row>
    <row r="45">
      <c r="B45" s="12">
        <v>50.0</v>
      </c>
    </row>
    <row r="46">
      <c r="B46" s="12">
        <v>40.0</v>
      </c>
    </row>
    <row r="47">
      <c r="B47" s="12">
        <v>0.0</v>
      </c>
    </row>
  </sheetData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2" t="s">
        <v>51</v>
      </c>
    </row>
    <row r="3">
      <c r="B3" s="22" t="s">
        <v>41</v>
      </c>
      <c r="C3" s="22" t="s">
        <v>42</v>
      </c>
      <c r="D3" s="22" t="s">
        <v>43</v>
      </c>
      <c r="E3" s="22" t="s">
        <v>52</v>
      </c>
      <c r="F3" s="22" t="s">
        <v>53</v>
      </c>
      <c r="J3" s="14" t="s">
        <v>44</v>
      </c>
    </row>
    <row r="4">
      <c r="B4" s="22">
        <v>0.0</v>
      </c>
      <c r="C4" s="22">
        <v>0.0</v>
      </c>
      <c r="D4" s="22">
        <v>33.0</v>
      </c>
      <c r="E4" s="22">
        <v>33.0</v>
      </c>
      <c r="F4" s="22">
        <v>1.0</v>
      </c>
      <c r="J4" s="14" t="s">
        <v>41</v>
      </c>
      <c r="K4" s="14" t="s">
        <v>47</v>
      </c>
      <c r="L4" s="14" t="s">
        <v>48</v>
      </c>
      <c r="M4" s="14" t="s">
        <v>49</v>
      </c>
    </row>
    <row r="5">
      <c r="B5" s="22">
        <v>1.0</v>
      </c>
      <c r="C5" s="22">
        <v>8.0</v>
      </c>
      <c r="D5" s="22">
        <v>33.0</v>
      </c>
      <c r="E5" s="22">
        <v>33.0</v>
      </c>
      <c r="F5" s="22">
        <v>40.0</v>
      </c>
      <c r="J5" s="22">
        <v>0.0</v>
      </c>
      <c r="K5" s="22">
        <v>0.0</v>
      </c>
      <c r="L5" s="22">
        <v>33.0</v>
      </c>
      <c r="M5" s="14">
        <v>27.0</v>
      </c>
    </row>
    <row r="6">
      <c r="B6" s="22">
        <v>2.0</v>
      </c>
      <c r="C6" s="22">
        <v>32.0</v>
      </c>
      <c r="D6" s="22">
        <v>33.0</v>
      </c>
      <c r="E6" s="22">
        <v>33.0</v>
      </c>
      <c r="F6" s="22">
        <v>55.0</v>
      </c>
      <c r="J6" s="22">
        <v>1.0</v>
      </c>
      <c r="K6" s="22">
        <v>8.0</v>
      </c>
      <c r="L6" s="22">
        <v>33.0</v>
      </c>
      <c r="M6" s="14">
        <v>27.0</v>
      </c>
    </row>
    <row r="7">
      <c r="B7" s="22">
        <v>3.0</v>
      </c>
      <c r="C7" s="22">
        <v>50.0</v>
      </c>
      <c r="D7" s="22">
        <v>33.0</v>
      </c>
      <c r="E7" s="22">
        <v>33.0</v>
      </c>
      <c r="F7" s="22">
        <v>80.0</v>
      </c>
      <c r="J7" s="22">
        <v>2.0</v>
      </c>
      <c r="K7" s="22">
        <v>32.0</v>
      </c>
      <c r="L7" s="22">
        <v>33.0</v>
      </c>
      <c r="M7" s="14">
        <v>27.0</v>
      </c>
    </row>
    <row r="8">
      <c r="B8" s="22">
        <v>4.0</v>
      </c>
      <c r="C8" s="22">
        <v>65.0</v>
      </c>
      <c r="D8" s="22">
        <v>0.0</v>
      </c>
      <c r="E8" s="22">
        <v>33.0</v>
      </c>
      <c r="F8" s="22">
        <v>90.0</v>
      </c>
      <c r="J8" s="22">
        <v>3.0</v>
      </c>
      <c r="K8" s="22">
        <v>50.0</v>
      </c>
      <c r="L8" s="22">
        <v>33.0</v>
      </c>
      <c r="M8" s="6">
        <v>27.777777777777775</v>
      </c>
    </row>
    <row r="9">
      <c r="B9" s="22">
        <v>5.0</v>
      </c>
      <c r="C9" s="22">
        <v>97.0</v>
      </c>
      <c r="D9" s="22">
        <v>0.0</v>
      </c>
      <c r="E9" s="22">
        <v>33.0</v>
      </c>
      <c r="F9" s="22">
        <v>100.0</v>
      </c>
      <c r="J9" s="22">
        <v>4.0</v>
      </c>
      <c r="K9" s="22">
        <v>65.0</v>
      </c>
      <c r="L9" s="14">
        <v>33.0</v>
      </c>
      <c r="M9" s="6">
        <v>44.01041666666667</v>
      </c>
    </row>
    <row r="10">
      <c r="B10" s="22">
        <v>6.0</v>
      </c>
      <c r="C10" s="22">
        <v>134.0</v>
      </c>
      <c r="D10" s="22">
        <v>84.0</v>
      </c>
      <c r="E10" s="22">
        <v>33.0</v>
      </c>
      <c r="F10" s="22">
        <v>154.0</v>
      </c>
      <c r="J10" s="22">
        <v>5.0</v>
      </c>
      <c r="K10" s="22">
        <v>97.0</v>
      </c>
      <c r="L10" s="14">
        <v>33.0</v>
      </c>
      <c r="M10" s="6">
        <v>33.60357142857143</v>
      </c>
    </row>
    <row r="11">
      <c r="B11" s="22">
        <v>7.0</v>
      </c>
      <c r="C11" s="22">
        <v>181.0</v>
      </c>
      <c r="D11" s="22">
        <v>62.0</v>
      </c>
      <c r="E11" s="22">
        <v>56.0</v>
      </c>
      <c r="F11" s="22">
        <v>249.0</v>
      </c>
      <c r="J11" s="22">
        <v>6.0</v>
      </c>
      <c r="K11" s="22">
        <v>134.0</v>
      </c>
      <c r="L11" s="14">
        <v>60.0</v>
      </c>
      <c r="M11" s="6">
        <v>46.760416666666664</v>
      </c>
    </row>
    <row r="12">
      <c r="B12" s="22">
        <v>8.0</v>
      </c>
      <c r="C12" s="22">
        <v>230.0</v>
      </c>
      <c r="D12" s="22">
        <v>63.0</v>
      </c>
      <c r="E12" s="22">
        <v>52.0</v>
      </c>
      <c r="F12" s="22">
        <v>336.0</v>
      </c>
      <c r="J12" s="22">
        <v>7.0</v>
      </c>
      <c r="K12" s="22">
        <v>181.0</v>
      </c>
      <c r="L12" s="22">
        <v>62.0</v>
      </c>
      <c r="M12" s="6">
        <v>61.12126865671642</v>
      </c>
    </row>
    <row r="13">
      <c r="B13" s="22">
        <v>9.0</v>
      </c>
      <c r="C13" s="22">
        <v>283.0</v>
      </c>
      <c r="D13" s="22">
        <v>67.0</v>
      </c>
      <c r="E13" s="22">
        <v>57.0</v>
      </c>
      <c r="F13" s="22">
        <v>391.0</v>
      </c>
      <c r="J13" s="22">
        <v>8.0</v>
      </c>
      <c r="K13" s="22">
        <v>230.0</v>
      </c>
      <c r="L13" s="22">
        <v>63.0</v>
      </c>
      <c r="M13" s="6">
        <v>73.06629834254144</v>
      </c>
    </row>
    <row r="14">
      <c r="B14" s="22">
        <v>10.0</v>
      </c>
      <c r="C14" s="22">
        <v>339.0</v>
      </c>
      <c r="D14" s="22">
        <v>73.0</v>
      </c>
      <c r="E14" s="22">
        <v>63.0</v>
      </c>
      <c r="F14" s="22">
        <v>501.0</v>
      </c>
      <c r="J14" s="22">
        <v>9.0</v>
      </c>
      <c r="K14" s="22">
        <v>283.0</v>
      </c>
      <c r="L14" s="22">
        <v>67.0</v>
      </c>
      <c r="M14" s="6">
        <v>82.5659793814433</v>
      </c>
    </row>
    <row r="15">
      <c r="B15" s="22">
        <v>11.0</v>
      </c>
      <c r="C15" s="22">
        <v>402.0</v>
      </c>
      <c r="D15" s="22">
        <v>75.0</v>
      </c>
      <c r="E15" s="22">
        <v>64.0</v>
      </c>
      <c r="F15" s="22">
        <v>683.0</v>
      </c>
      <c r="J15" s="22">
        <v>10.0</v>
      </c>
      <c r="K15" s="22">
        <v>339.0</v>
      </c>
      <c r="L15" s="22">
        <v>73.0</v>
      </c>
      <c r="M15" s="6">
        <v>88.40076923076923</v>
      </c>
    </row>
    <row r="16">
      <c r="B16" s="22">
        <v>12.0</v>
      </c>
      <c r="C16" s="22">
        <v>465.0</v>
      </c>
      <c r="D16" s="22">
        <v>80.0</v>
      </c>
      <c r="E16" s="22">
        <v>71.0</v>
      </c>
      <c r="F16" s="22">
        <v>833.0</v>
      </c>
      <c r="J16" s="22">
        <v>11.0</v>
      </c>
      <c r="K16" s="22">
        <v>402.0</v>
      </c>
      <c r="L16" s="22">
        <v>75.0</v>
      </c>
      <c r="M16" s="6">
        <v>95.96437054631829</v>
      </c>
    </row>
    <row r="17">
      <c r="B17" s="22">
        <v>13.0</v>
      </c>
      <c r="C17" s="22">
        <v>528.0</v>
      </c>
      <c r="D17" s="22">
        <v>82.0</v>
      </c>
      <c r="E17" s="22">
        <v>75.0</v>
      </c>
      <c r="F17" s="22">
        <v>1055.0</v>
      </c>
      <c r="J17" s="22">
        <v>12.0</v>
      </c>
      <c r="K17" s="22">
        <v>465.0</v>
      </c>
      <c r="L17" s="22">
        <v>80.0</v>
      </c>
      <c r="M17" s="6">
        <v>98.1057168784029</v>
      </c>
    </row>
    <row r="18">
      <c r="B18" s="22">
        <v>14.0</v>
      </c>
      <c r="C18" s="22">
        <v>598.0</v>
      </c>
      <c r="D18" s="22">
        <v>84.0</v>
      </c>
      <c r="E18" s="22">
        <v>78.0</v>
      </c>
      <c r="J18" s="22">
        <v>13.0</v>
      </c>
      <c r="K18" s="22">
        <v>528.0</v>
      </c>
      <c r="L18" s="22">
        <v>82.0</v>
      </c>
      <c r="M18" s="6">
        <v>100.86251808972503</v>
      </c>
    </row>
    <row r="19">
      <c r="J19" s="22">
        <v>14.0</v>
      </c>
      <c r="K19" s="22">
        <v>598.0</v>
      </c>
      <c r="L19" s="22">
        <v>84.0</v>
      </c>
      <c r="M19" s="6">
        <v>113.66942148760332</v>
      </c>
    </row>
    <row r="21">
      <c r="B21" s="22" t="s">
        <v>51</v>
      </c>
      <c r="C21" s="14" t="s">
        <v>45</v>
      </c>
      <c r="D21" s="14" t="s">
        <v>41</v>
      </c>
      <c r="E21" s="14" t="s">
        <v>52</v>
      </c>
    </row>
    <row r="22">
      <c r="B22" s="22" t="s">
        <v>41</v>
      </c>
    </row>
    <row r="23">
      <c r="B23" s="22">
        <v>0.0</v>
      </c>
      <c r="C23" s="14">
        <v>0.0</v>
      </c>
      <c r="D23" s="22">
        <v>0.0</v>
      </c>
      <c r="E23" s="6" t="str">
        <f t="shared" ref="E23:E37" si="1">(D23^2)/(2*C23*1000)*1000</f>
        <v>#DIV/0!</v>
      </c>
    </row>
    <row r="24">
      <c r="B24" s="22">
        <v>1.0</v>
      </c>
      <c r="C24" s="14">
        <v>40.0</v>
      </c>
      <c r="D24" s="22">
        <v>8.0</v>
      </c>
      <c r="E24" s="6">
        <f t="shared" si="1"/>
        <v>0.8</v>
      </c>
    </row>
    <row r="25">
      <c r="B25" s="22">
        <v>2.0</v>
      </c>
      <c r="C25" s="14">
        <v>40.0</v>
      </c>
      <c r="D25" s="22">
        <v>32.0</v>
      </c>
      <c r="E25" s="6">
        <f t="shared" si="1"/>
        <v>12.8</v>
      </c>
    </row>
    <row r="26">
      <c r="B26" s="22">
        <v>3.0</v>
      </c>
      <c r="C26" s="14">
        <v>45.0</v>
      </c>
      <c r="D26" s="22">
        <v>50.0</v>
      </c>
      <c r="E26" s="6">
        <f t="shared" si="1"/>
        <v>27.77777778</v>
      </c>
    </row>
    <row r="27">
      <c r="B27" s="22">
        <v>4.0</v>
      </c>
      <c r="C27" s="14">
        <v>48.0</v>
      </c>
      <c r="D27" s="22">
        <v>65.0</v>
      </c>
      <c r="E27" s="6">
        <f t="shared" si="1"/>
        <v>44.01041667</v>
      </c>
    </row>
    <row r="28">
      <c r="B28" s="22">
        <v>5.0</v>
      </c>
      <c r="C28" s="14">
        <v>140.0</v>
      </c>
      <c r="D28" s="22">
        <v>97.0</v>
      </c>
      <c r="E28" s="6">
        <f t="shared" si="1"/>
        <v>33.60357143</v>
      </c>
    </row>
    <row r="29">
      <c r="B29" s="22">
        <v>6.0</v>
      </c>
      <c r="C29" s="14">
        <v>192.0</v>
      </c>
      <c r="D29" s="22">
        <v>134.0</v>
      </c>
      <c r="E29" s="6">
        <f t="shared" si="1"/>
        <v>46.76041667</v>
      </c>
    </row>
    <row r="30">
      <c r="B30" s="22">
        <v>7.0</v>
      </c>
      <c r="C30" s="14">
        <v>268.0</v>
      </c>
      <c r="D30" s="22">
        <v>181.0</v>
      </c>
      <c r="E30" s="6">
        <f t="shared" si="1"/>
        <v>61.12126866</v>
      </c>
    </row>
    <row r="31">
      <c r="B31" s="22">
        <v>8.0</v>
      </c>
      <c r="C31" s="14">
        <v>362.0</v>
      </c>
      <c r="D31" s="22">
        <v>230.0</v>
      </c>
      <c r="E31" s="6">
        <f t="shared" si="1"/>
        <v>73.06629834</v>
      </c>
    </row>
    <row r="32">
      <c r="B32" s="22">
        <v>9.0</v>
      </c>
      <c r="C32" s="14">
        <v>485.0</v>
      </c>
      <c r="D32" s="22">
        <v>283.0</v>
      </c>
      <c r="E32" s="6">
        <f t="shared" si="1"/>
        <v>82.56597938</v>
      </c>
    </row>
    <row r="33">
      <c r="B33" s="22">
        <v>10.0</v>
      </c>
      <c r="C33" s="14">
        <v>650.0</v>
      </c>
      <c r="D33" s="22">
        <v>339.0</v>
      </c>
      <c r="E33" s="6">
        <f t="shared" si="1"/>
        <v>88.40076923</v>
      </c>
    </row>
    <row r="34">
      <c r="B34" s="22">
        <v>11.0</v>
      </c>
      <c r="C34" s="14">
        <v>842.0</v>
      </c>
      <c r="D34" s="22">
        <v>402.0</v>
      </c>
      <c r="E34" s="6">
        <f t="shared" si="1"/>
        <v>95.96437055</v>
      </c>
    </row>
    <row r="35">
      <c r="B35" s="22">
        <v>12.0</v>
      </c>
      <c r="C35" s="14">
        <v>1102.0</v>
      </c>
      <c r="D35" s="22">
        <v>465.0</v>
      </c>
      <c r="E35" s="6">
        <f t="shared" si="1"/>
        <v>98.10571688</v>
      </c>
    </row>
    <row r="36">
      <c r="B36" s="22">
        <v>13.0</v>
      </c>
      <c r="C36" s="6">
        <f>1420 - 38</f>
        <v>1382</v>
      </c>
      <c r="D36" s="22">
        <v>528.0</v>
      </c>
      <c r="E36" s="6">
        <f t="shared" si="1"/>
        <v>100.8625181</v>
      </c>
    </row>
    <row r="37">
      <c r="B37" s="22">
        <v>14.0</v>
      </c>
      <c r="C37" s="6">
        <f>1420+153</f>
        <v>1573</v>
      </c>
      <c r="D37" s="22">
        <v>598.0</v>
      </c>
      <c r="E37" s="6">
        <f t="shared" si="1"/>
        <v>113.6694215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4" t="s">
        <v>54</v>
      </c>
      <c r="D2" s="14" t="s">
        <v>55</v>
      </c>
      <c r="E2" s="14" t="s">
        <v>56</v>
      </c>
      <c r="F2" s="14" t="s">
        <v>57</v>
      </c>
      <c r="G2" s="14" t="s">
        <v>58</v>
      </c>
      <c r="H2" s="14" t="s">
        <v>59</v>
      </c>
      <c r="I2" s="14" t="s">
        <v>60</v>
      </c>
      <c r="J2" s="14" t="s">
        <v>61</v>
      </c>
    </row>
    <row r="3">
      <c r="C3" s="14" t="s">
        <v>11</v>
      </c>
      <c r="D3" s="14">
        <v>2501.0</v>
      </c>
      <c r="E3" s="14">
        <v>0.0</v>
      </c>
      <c r="F3" s="6">
        <f>E3</f>
        <v>0</v>
      </c>
    </row>
    <row r="4">
      <c r="C4" s="14" t="s">
        <v>12</v>
      </c>
      <c r="D4" s="14">
        <v>9102.0</v>
      </c>
      <c r="E4" s="14">
        <v>437.0</v>
      </c>
      <c r="F4" s="6">
        <f t="shared" ref="F4:F34" si="1">E4+F3</f>
        <v>437</v>
      </c>
      <c r="G4" s="6">
        <f t="shared" ref="G4:G34" si="2">D4-D3</f>
        <v>6601</v>
      </c>
      <c r="H4" s="6">
        <f t="shared" ref="H4:H34" si="3">E4/G4</f>
        <v>0.06620209059</v>
      </c>
      <c r="I4" s="6">
        <f t="shared" ref="I4:I34" si="4">IF(H4&gt;0.06, 1, 0)</f>
        <v>1</v>
      </c>
      <c r="J4" s="6">
        <f t="shared" ref="J4:J34" si="5">H4*I4</f>
        <v>0.06620209059</v>
      </c>
      <c r="K4" s="6">
        <f>sum(J4:J34)/sum(I4:I34)</f>
        <v>0.06568585774</v>
      </c>
      <c r="M4" s="6">
        <f>K4*1000</f>
        <v>65.68585774</v>
      </c>
    </row>
    <row r="5">
      <c r="C5" s="14" t="s">
        <v>13</v>
      </c>
      <c r="D5" s="14">
        <v>14802.0</v>
      </c>
      <c r="E5" s="14">
        <v>376.0</v>
      </c>
      <c r="F5" s="6">
        <f t="shared" si="1"/>
        <v>813</v>
      </c>
      <c r="G5" s="6">
        <f t="shared" si="2"/>
        <v>5700</v>
      </c>
      <c r="H5" s="6">
        <f t="shared" si="3"/>
        <v>0.06596491228</v>
      </c>
      <c r="I5" s="6">
        <f t="shared" si="4"/>
        <v>1</v>
      </c>
      <c r="J5" s="6">
        <f t="shared" si="5"/>
        <v>0.06596491228</v>
      </c>
    </row>
    <row r="6">
      <c r="C6" s="14" t="s">
        <v>14</v>
      </c>
      <c r="D6" s="14">
        <v>20503.0</v>
      </c>
      <c r="E6" s="14">
        <v>359.0</v>
      </c>
      <c r="F6" s="6">
        <f t="shared" si="1"/>
        <v>1172</v>
      </c>
      <c r="G6" s="6">
        <f t="shared" si="2"/>
        <v>5701</v>
      </c>
      <c r="H6" s="6">
        <f t="shared" si="3"/>
        <v>0.06297140852</v>
      </c>
      <c r="I6" s="6">
        <f t="shared" si="4"/>
        <v>1</v>
      </c>
      <c r="J6" s="6">
        <f t="shared" si="5"/>
        <v>0.06297140852</v>
      </c>
    </row>
    <row r="7">
      <c r="C7" s="14" t="s">
        <v>15</v>
      </c>
      <c r="D7" s="14">
        <v>26503.0</v>
      </c>
      <c r="E7" s="14">
        <v>404.0</v>
      </c>
      <c r="F7" s="6">
        <f t="shared" si="1"/>
        <v>1576</v>
      </c>
      <c r="G7" s="6">
        <f t="shared" si="2"/>
        <v>6000</v>
      </c>
      <c r="H7" s="6">
        <f t="shared" si="3"/>
        <v>0.06733333333</v>
      </c>
      <c r="I7" s="6">
        <f t="shared" si="4"/>
        <v>1</v>
      </c>
      <c r="J7" s="6">
        <f t="shared" si="5"/>
        <v>0.06733333333</v>
      </c>
    </row>
    <row r="8">
      <c r="C8" s="14" t="s">
        <v>16</v>
      </c>
      <c r="D8" s="14">
        <v>30804.0</v>
      </c>
      <c r="E8" s="14">
        <v>282.0</v>
      </c>
      <c r="F8" s="6">
        <f t="shared" si="1"/>
        <v>1858</v>
      </c>
      <c r="G8" s="6">
        <f t="shared" si="2"/>
        <v>4301</v>
      </c>
      <c r="H8" s="6">
        <f t="shared" si="3"/>
        <v>0.06556614741</v>
      </c>
      <c r="I8" s="6">
        <f t="shared" si="4"/>
        <v>1</v>
      </c>
      <c r="J8" s="6">
        <f t="shared" si="5"/>
        <v>0.06556614741</v>
      </c>
    </row>
    <row r="9">
      <c r="C9" s="14" t="s">
        <v>62</v>
      </c>
      <c r="D9" s="14">
        <v>36504.0</v>
      </c>
      <c r="E9" s="14">
        <v>282.0</v>
      </c>
      <c r="F9" s="6">
        <f t="shared" si="1"/>
        <v>2140</v>
      </c>
      <c r="G9" s="6">
        <f t="shared" si="2"/>
        <v>5700</v>
      </c>
      <c r="H9" s="6">
        <f t="shared" si="3"/>
        <v>0.04947368421</v>
      </c>
      <c r="I9" s="6">
        <f t="shared" si="4"/>
        <v>0</v>
      </c>
      <c r="J9" s="6">
        <f t="shared" si="5"/>
        <v>0</v>
      </c>
    </row>
    <row r="10">
      <c r="C10" s="14" t="s">
        <v>6</v>
      </c>
      <c r="D10" s="14">
        <v>46105.0</v>
      </c>
      <c r="E10" s="14">
        <v>623.0</v>
      </c>
      <c r="F10" s="6">
        <f t="shared" si="1"/>
        <v>2763</v>
      </c>
      <c r="G10" s="6">
        <f t="shared" si="2"/>
        <v>9601</v>
      </c>
      <c r="H10" s="6">
        <f t="shared" si="3"/>
        <v>0.06488907405</v>
      </c>
      <c r="I10" s="6">
        <f t="shared" si="4"/>
        <v>1</v>
      </c>
      <c r="J10" s="6">
        <f t="shared" si="5"/>
        <v>0.06488907405</v>
      </c>
    </row>
    <row r="11">
      <c r="C11" s="14" t="s">
        <v>7</v>
      </c>
      <c r="D11" s="14">
        <v>51806.0</v>
      </c>
      <c r="E11" s="14">
        <v>282.0</v>
      </c>
      <c r="F11" s="6">
        <f t="shared" si="1"/>
        <v>3045</v>
      </c>
      <c r="G11" s="6">
        <f t="shared" si="2"/>
        <v>5701</v>
      </c>
      <c r="H11" s="6">
        <f t="shared" si="3"/>
        <v>0.04946500614</v>
      </c>
      <c r="I11" s="6">
        <f t="shared" si="4"/>
        <v>0</v>
      </c>
      <c r="J11" s="6">
        <f t="shared" si="5"/>
        <v>0</v>
      </c>
    </row>
    <row r="12">
      <c r="C12" s="14" t="s">
        <v>8</v>
      </c>
      <c r="D12" s="14">
        <v>56106.0</v>
      </c>
      <c r="E12" s="14">
        <v>289.0</v>
      </c>
      <c r="F12" s="6">
        <f t="shared" si="1"/>
        <v>3334</v>
      </c>
      <c r="G12" s="6">
        <f t="shared" si="2"/>
        <v>4300</v>
      </c>
      <c r="H12" s="6">
        <f t="shared" si="3"/>
        <v>0.06720930233</v>
      </c>
      <c r="I12" s="6">
        <f t="shared" si="4"/>
        <v>1</v>
      </c>
      <c r="J12" s="6">
        <f t="shared" si="5"/>
        <v>0.06720930233</v>
      </c>
    </row>
    <row r="13">
      <c r="C13" s="14" t="s">
        <v>9</v>
      </c>
      <c r="D13" s="14">
        <v>62207.0</v>
      </c>
      <c r="E13" s="14">
        <v>404.0</v>
      </c>
      <c r="F13" s="6">
        <f t="shared" si="1"/>
        <v>3738</v>
      </c>
      <c r="G13" s="6">
        <f t="shared" si="2"/>
        <v>6101</v>
      </c>
      <c r="H13" s="6">
        <f t="shared" si="3"/>
        <v>0.06621865268</v>
      </c>
      <c r="I13" s="6">
        <f t="shared" si="4"/>
        <v>1</v>
      </c>
      <c r="J13" s="6">
        <f t="shared" si="5"/>
        <v>0.06621865268</v>
      </c>
    </row>
    <row r="14">
      <c r="C14" s="14" t="s">
        <v>10</v>
      </c>
      <c r="D14" s="14">
        <v>67607.0</v>
      </c>
      <c r="E14" s="14">
        <v>351.0</v>
      </c>
      <c r="F14" s="6">
        <f t="shared" si="1"/>
        <v>4089</v>
      </c>
      <c r="G14" s="6">
        <f t="shared" si="2"/>
        <v>5400</v>
      </c>
      <c r="H14" s="6">
        <f t="shared" si="3"/>
        <v>0.065</v>
      </c>
      <c r="I14" s="6">
        <f t="shared" si="4"/>
        <v>1</v>
      </c>
      <c r="J14" s="6">
        <f t="shared" si="5"/>
        <v>0.065</v>
      </c>
    </row>
    <row r="15">
      <c r="C15" s="14" t="s">
        <v>11</v>
      </c>
      <c r="D15" s="14">
        <v>73207.0</v>
      </c>
      <c r="E15" s="14">
        <v>376.0</v>
      </c>
      <c r="F15" s="6">
        <f t="shared" si="1"/>
        <v>4465</v>
      </c>
      <c r="G15" s="6">
        <f t="shared" si="2"/>
        <v>5600</v>
      </c>
      <c r="H15" s="6">
        <f t="shared" si="3"/>
        <v>0.06714285714</v>
      </c>
      <c r="I15" s="6">
        <f t="shared" si="4"/>
        <v>1</v>
      </c>
      <c r="J15" s="6">
        <f t="shared" si="5"/>
        <v>0.06714285714</v>
      </c>
    </row>
    <row r="16">
      <c r="C16" s="14" t="s">
        <v>12</v>
      </c>
      <c r="D16" s="14">
        <v>79908.0</v>
      </c>
      <c r="E16" s="14">
        <v>437.0</v>
      </c>
      <c r="F16" s="6">
        <f t="shared" si="1"/>
        <v>4902</v>
      </c>
      <c r="G16" s="6">
        <f t="shared" si="2"/>
        <v>6701</v>
      </c>
      <c r="H16" s="6">
        <f t="shared" si="3"/>
        <v>0.06521414714</v>
      </c>
      <c r="I16" s="6">
        <f t="shared" si="4"/>
        <v>1</v>
      </c>
      <c r="J16" s="6">
        <f t="shared" si="5"/>
        <v>0.06521414714</v>
      </c>
    </row>
    <row r="17">
      <c r="C17" s="14" t="s">
        <v>13</v>
      </c>
      <c r="D17" s="14">
        <v>85609.0</v>
      </c>
      <c r="E17" s="14">
        <v>376.0</v>
      </c>
      <c r="F17" s="6">
        <f t="shared" si="1"/>
        <v>5278</v>
      </c>
      <c r="G17" s="6">
        <f t="shared" si="2"/>
        <v>5701</v>
      </c>
      <c r="H17" s="6">
        <f t="shared" si="3"/>
        <v>0.06595334152</v>
      </c>
      <c r="I17" s="6">
        <f t="shared" si="4"/>
        <v>1</v>
      </c>
      <c r="J17" s="6">
        <f t="shared" si="5"/>
        <v>0.06595334152</v>
      </c>
    </row>
    <row r="18">
      <c r="C18" s="14" t="s">
        <v>14</v>
      </c>
      <c r="D18" s="14">
        <v>91209.0</v>
      </c>
      <c r="E18" s="14">
        <v>359.0</v>
      </c>
      <c r="F18" s="6">
        <f t="shared" si="1"/>
        <v>5637</v>
      </c>
      <c r="G18" s="6">
        <f t="shared" si="2"/>
        <v>5600</v>
      </c>
      <c r="H18" s="6">
        <f t="shared" si="3"/>
        <v>0.06410714286</v>
      </c>
      <c r="I18" s="6">
        <f t="shared" si="4"/>
        <v>1</v>
      </c>
      <c r="J18" s="6">
        <f t="shared" si="5"/>
        <v>0.06410714286</v>
      </c>
    </row>
    <row r="19">
      <c r="C19" s="14" t="s">
        <v>15</v>
      </c>
      <c r="D19" s="14">
        <v>97310.0</v>
      </c>
      <c r="E19" s="14">
        <v>404.0</v>
      </c>
      <c r="F19" s="6">
        <f t="shared" si="1"/>
        <v>6041</v>
      </c>
      <c r="G19" s="6">
        <f t="shared" si="2"/>
        <v>6101</v>
      </c>
      <c r="H19" s="6">
        <f t="shared" si="3"/>
        <v>0.06621865268</v>
      </c>
      <c r="I19" s="6">
        <f t="shared" si="4"/>
        <v>1</v>
      </c>
      <c r="J19" s="6">
        <f t="shared" si="5"/>
        <v>0.06621865268</v>
      </c>
    </row>
    <row r="20">
      <c r="C20" s="14" t="s">
        <v>16</v>
      </c>
      <c r="D20" s="14">
        <v>101610.0</v>
      </c>
      <c r="E20" s="14">
        <v>282.0</v>
      </c>
      <c r="F20" s="6">
        <f t="shared" si="1"/>
        <v>6323</v>
      </c>
      <c r="G20" s="6">
        <f t="shared" si="2"/>
        <v>4300</v>
      </c>
      <c r="H20" s="6">
        <f t="shared" si="3"/>
        <v>0.06558139535</v>
      </c>
      <c r="I20" s="6">
        <f t="shared" si="4"/>
        <v>1</v>
      </c>
      <c r="J20" s="6">
        <f t="shared" si="5"/>
        <v>0.06558139535</v>
      </c>
    </row>
    <row r="21">
      <c r="C21" s="14" t="s">
        <v>62</v>
      </c>
      <c r="D21" s="14">
        <v>107310.0</v>
      </c>
      <c r="E21" s="14">
        <v>282.0</v>
      </c>
      <c r="F21" s="6">
        <f t="shared" si="1"/>
        <v>6605</v>
      </c>
      <c r="G21" s="6">
        <f t="shared" si="2"/>
        <v>5700</v>
      </c>
      <c r="H21" s="6">
        <f t="shared" si="3"/>
        <v>0.04947368421</v>
      </c>
      <c r="I21" s="6">
        <f t="shared" si="4"/>
        <v>0</v>
      </c>
      <c r="J21" s="6">
        <f t="shared" si="5"/>
        <v>0</v>
      </c>
    </row>
    <row r="22">
      <c r="C22" s="14" t="s">
        <v>6</v>
      </c>
      <c r="D22" s="14">
        <v>116811.0</v>
      </c>
      <c r="E22" s="14">
        <v>623.0</v>
      </c>
      <c r="F22" s="6">
        <f t="shared" si="1"/>
        <v>7228</v>
      </c>
      <c r="G22" s="6">
        <f t="shared" si="2"/>
        <v>9501</v>
      </c>
      <c r="H22" s="6">
        <f t="shared" si="3"/>
        <v>0.06557204505</v>
      </c>
      <c r="I22" s="6">
        <f t="shared" si="4"/>
        <v>1</v>
      </c>
      <c r="J22" s="6">
        <f t="shared" si="5"/>
        <v>0.06557204505</v>
      </c>
    </row>
    <row r="23">
      <c r="C23" s="14" t="s">
        <v>7</v>
      </c>
      <c r="D23" s="14">
        <v>122512.0</v>
      </c>
      <c r="E23" s="14">
        <v>282.0</v>
      </c>
      <c r="F23" s="6">
        <f t="shared" si="1"/>
        <v>7510</v>
      </c>
      <c r="G23" s="6">
        <f t="shared" si="2"/>
        <v>5701</v>
      </c>
      <c r="H23" s="6">
        <f t="shared" si="3"/>
        <v>0.04946500614</v>
      </c>
      <c r="I23" s="6">
        <f t="shared" si="4"/>
        <v>0</v>
      </c>
      <c r="J23" s="6">
        <f t="shared" si="5"/>
        <v>0</v>
      </c>
    </row>
    <row r="24">
      <c r="C24" s="14" t="s">
        <v>8</v>
      </c>
      <c r="D24" s="14">
        <v>126912.0</v>
      </c>
      <c r="E24" s="14">
        <v>289.0</v>
      </c>
      <c r="F24" s="6">
        <f t="shared" si="1"/>
        <v>7799</v>
      </c>
      <c r="G24" s="6">
        <f t="shared" si="2"/>
        <v>4400</v>
      </c>
      <c r="H24" s="6">
        <f t="shared" si="3"/>
        <v>0.06568181818</v>
      </c>
      <c r="I24" s="6">
        <f t="shared" si="4"/>
        <v>1</v>
      </c>
      <c r="J24" s="6">
        <f t="shared" si="5"/>
        <v>0.06568181818</v>
      </c>
    </row>
    <row r="25">
      <c r="C25" s="14" t="s">
        <v>9</v>
      </c>
      <c r="D25" s="14">
        <v>133013.0</v>
      </c>
      <c r="E25" s="14">
        <v>404.0</v>
      </c>
      <c r="F25" s="6">
        <f t="shared" si="1"/>
        <v>8203</v>
      </c>
      <c r="G25" s="6">
        <f t="shared" si="2"/>
        <v>6101</v>
      </c>
      <c r="H25" s="6">
        <f t="shared" si="3"/>
        <v>0.06621865268</v>
      </c>
      <c r="I25" s="6">
        <f t="shared" si="4"/>
        <v>1</v>
      </c>
      <c r="J25" s="6">
        <f t="shared" si="5"/>
        <v>0.06621865268</v>
      </c>
    </row>
    <row r="26">
      <c r="C26" s="14" t="s">
        <v>10</v>
      </c>
      <c r="D26" s="14">
        <v>138413.0</v>
      </c>
      <c r="E26" s="14">
        <v>351.0</v>
      </c>
      <c r="F26" s="6">
        <f t="shared" si="1"/>
        <v>8554</v>
      </c>
      <c r="G26" s="6">
        <f t="shared" si="2"/>
        <v>5400</v>
      </c>
      <c r="H26" s="6">
        <f t="shared" si="3"/>
        <v>0.065</v>
      </c>
      <c r="I26" s="6">
        <f t="shared" si="4"/>
        <v>1</v>
      </c>
      <c r="J26" s="6">
        <f t="shared" si="5"/>
        <v>0.065</v>
      </c>
    </row>
    <row r="27">
      <c r="C27" s="14" t="s">
        <v>11</v>
      </c>
      <c r="D27" s="14">
        <v>144014.0</v>
      </c>
      <c r="E27" s="14">
        <v>376.0</v>
      </c>
      <c r="F27" s="6">
        <f t="shared" si="1"/>
        <v>8930</v>
      </c>
      <c r="G27" s="6">
        <f t="shared" si="2"/>
        <v>5601</v>
      </c>
      <c r="H27" s="6">
        <f t="shared" si="3"/>
        <v>0.06713086949</v>
      </c>
      <c r="I27" s="6">
        <f t="shared" si="4"/>
        <v>1</v>
      </c>
      <c r="J27" s="6">
        <f t="shared" si="5"/>
        <v>0.06713086949</v>
      </c>
    </row>
    <row r="28">
      <c r="C28" s="14" t="s">
        <v>12</v>
      </c>
      <c r="D28" s="14">
        <v>150714.0</v>
      </c>
      <c r="E28" s="14">
        <v>437.0</v>
      </c>
      <c r="F28" s="6">
        <f t="shared" si="1"/>
        <v>9367</v>
      </c>
      <c r="G28" s="6">
        <f t="shared" si="2"/>
        <v>6700</v>
      </c>
      <c r="H28" s="6">
        <f t="shared" si="3"/>
        <v>0.0652238806</v>
      </c>
      <c r="I28" s="6">
        <f t="shared" si="4"/>
        <v>1</v>
      </c>
      <c r="J28" s="6">
        <f t="shared" si="5"/>
        <v>0.0652238806</v>
      </c>
    </row>
    <row r="29">
      <c r="C29" s="14" t="s">
        <v>13</v>
      </c>
      <c r="D29" s="14">
        <v>156415.0</v>
      </c>
      <c r="E29" s="14">
        <v>376.0</v>
      </c>
      <c r="F29" s="6">
        <f t="shared" si="1"/>
        <v>9743</v>
      </c>
      <c r="G29" s="6">
        <f t="shared" si="2"/>
        <v>5701</v>
      </c>
      <c r="H29" s="6">
        <f t="shared" si="3"/>
        <v>0.06595334152</v>
      </c>
      <c r="I29" s="6">
        <f t="shared" si="4"/>
        <v>1</v>
      </c>
      <c r="J29" s="6">
        <f t="shared" si="5"/>
        <v>0.06595334152</v>
      </c>
    </row>
    <row r="30">
      <c r="C30" s="14" t="s">
        <v>14</v>
      </c>
      <c r="D30" s="14">
        <v>162015.0</v>
      </c>
      <c r="E30" s="14">
        <v>359.0</v>
      </c>
      <c r="F30" s="6">
        <f t="shared" si="1"/>
        <v>10102</v>
      </c>
      <c r="G30" s="6">
        <f t="shared" si="2"/>
        <v>5600</v>
      </c>
      <c r="H30" s="6">
        <f t="shared" si="3"/>
        <v>0.06410714286</v>
      </c>
      <c r="I30" s="6">
        <f t="shared" si="4"/>
        <v>1</v>
      </c>
      <c r="J30" s="6">
        <f t="shared" si="5"/>
        <v>0.06410714286</v>
      </c>
    </row>
    <row r="31">
      <c r="C31" s="14" t="s">
        <v>15</v>
      </c>
      <c r="D31" s="14">
        <v>168116.0</v>
      </c>
      <c r="E31" s="14">
        <v>404.0</v>
      </c>
      <c r="F31" s="6">
        <f t="shared" si="1"/>
        <v>10506</v>
      </c>
      <c r="G31" s="6">
        <f t="shared" si="2"/>
        <v>6101</v>
      </c>
      <c r="H31" s="6">
        <f t="shared" si="3"/>
        <v>0.06621865268</v>
      </c>
      <c r="I31" s="6">
        <f t="shared" si="4"/>
        <v>1</v>
      </c>
      <c r="J31" s="6">
        <f t="shared" si="5"/>
        <v>0.06621865268</v>
      </c>
    </row>
    <row r="32">
      <c r="C32" s="14" t="s">
        <v>16</v>
      </c>
      <c r="D32" s="14">
        <v>172416.0</v>
      </c>
      <c r="E32" s="14">
        <v>282.0</v>
      </c>
      <c r="F32" s="6">
        <f t="shared" si="1"/>
        <v>10788</v>
      </c>
      <c r="G32" s="6">
        <f t="shared" si="2"/>
        <v>4300</v>
      </c>
      <c r="H32" s="6">
        <f t="shared" si="3"/>
        <v>0.06558139535</v>
      </c>
      <c r="I32" s="6">
        <f t="shared" si="4"/>
        <v>1</v>
      </c>
      <c r="J32" s="6">
        <f t="shared" si="5"/>
        <v>0.06558139535</v>
      </c>
    </row>
    <row r="33">
      <c r="C33" s="14" t="s">
        <v>62</v>
      </c>
      <c r="D33" s="14">
        <v>178116.0</v>
      </c>
      <c r="E33" s="14">
        <v>282.0</v>
      </c>
      <c r="F33" s="6">
        <f t="shared" si="1"/>
        <v>11070</v>
      </c>
      <c r="G33" s="6">
        <f t="shared" si="2"/>
        <v>5700</v>
      </c>
      <c r="H33" s="6">
        <f t="shared" si="3"/>
        <v>0.04947368421</v>
      </c>
      <c r="I33" s="6">
        <f t="shared" si="4"/>
        <v>0</v>
      </c>
      <c r="J33" s="6">
        <f t="shared" si="5"/>
        <v>0</v>
      </c>
    </row>
    <row r="34">
      <c r="C34" s="14" t="s">
        <v>6</v>
      </c>
      <c r="D34" s="14">
        <v>187617.0</v>
      </c>
      <c r="E34" s="14">
        <v>623.0</v>
      </c>
      <c r="F34" s="6">
        <f t="shared" si="1"/>
        <v>11693</v>
      </c>
      <c r="G34" s="6">
        <f t="shared" si="2"/>
        <v>9501</v>
      </c>
      <c r="H34" s="6">
        <f t="shared" si="3"/>
        <v>0.06557204505</v>
      </c>
      <c r="I34" s="6">
        <f t="shared" si="4"/>
        <v>1</v>
      </c>
      <c r="J34" s="6">
        <f t="shared" si="5"/>
        <v>0.06557204505</v>
      </c>
    </row>
    <row r="48">
      <c r="N48" s="14" t="s">
        <v>63</v>
      </c>
      <c r="O48" s="14" t="s">
        <v>64</v>
      </c>
    </row>
    <row r="73">
      <c r="C73" s="14">
        <v>3610.0</v>
      </c>
      <c r="D73" s="14">
        <v>0.0</v>
      </c>
      <c r="F73" s="14" t="s">
        <v>5</v>
      </c>
    </row>
    <row r="74">
      <c r="C74" s="14">
        <v>9810.0</v>
      </c>
      <c r="D74" s="14">
        <v>404.0</v>
      </c>
      <c r="F74" s="6">
        <f>D74/(C74-C73)</f>
        <v>0.06516129032</v>
      </c>
    </row>
  </sheetData>
  <drawing r:id="rId1"/>
</worksheet>
</file>